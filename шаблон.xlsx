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ppr\Yandex.Disk-kras.al@wowdoma.ru\Правильный дом\ОП\Калькулятор\Сайт\"/>
    </mc:Choice>
  </mc:AlternateContent>
  <xr:revisionPtr revIDLastSave="0" documentId="13_ncr:1_{2D18F086-4E5F-41F5-8848-B2295B5156B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Калькулятор" sheetId="3" r:id="rId1"/>
    <sheet name="Лист1" sheetId="2" r:id="rId2"/>
    <sheet name="Worksheet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7" i="1" l="1"/>
  <c r="H556" i="1"/>
  <c r="I556" i="1"/>
  <c r="J556" i="1" s="1"/>
  <c r="K556" i="1" s="1"/>
  <c r="D556" i="1" l="1"/>
  <c r="D550" i="1"/>
  <c r="E550" i="1"/>
  <c r="D549" i="1"/>
  <c r="E549" i="1"/>
  <c r="D5" i="3"/>
  <c r="E5" i="3" s="1"/>
  <c r="E494" i="1"/>
  <c r="E472" i="1"/>
  <c r="E362" i="1"/>
  <c r="E341" i="1"/>
  <c r="E331" i="1"/>
  <c r="E321" i="1"/>
  <c r="E299" i="1"/>
  <c r="E279" i="1"/>
  <c r="E250" i="1"/>
  <c r="E217" i="1"/>
  <c r="E183" i="1"/>
  <c r="E140" i="1"/>
  <c r="E113" i="1"/>
  <c r="E91" i="1"/>
  <c r="E57" i="1"/>
  <c r="F440" i="1"/>
  <c r="F436" i="1"/>
  <c r="F425" i="1"/>
  <c r="F397" i="1"/>
  <c r="F392" i="1"/>
  <c r="F383" i="1"/>
  <c r="F168" i="1"/>
  <c r="F179" i="1" s="1"/>
  <c r="F162" i="1"/>
  <c r="F178" i="1" s="1"/>
  <c r="E1" i="1"/>
  <c r="F470" i="1" l="1"/>
  <c r="E423" i="1" s="1"/>
  <c r="F421" i="1"/>
  <c r="E381" i="1" s="1"/>
  <c r="F177" i="1"/>
  <c r="F180" i="1" s="1"/>
  <c r="E160" i="1" s="1"/>
</calcChain>
</file>

<file path=xl/sharedStrings.xml><?xml version="1.0" encoding="utf-8"?>
<sst xmlns="http://schemas.openxmlformats.org/spreadsheetml/2006/main" count="1359" uniqueCount="507">
  <si>
    <t>Работы</t>
  </si>
  <si>
    <t>Материалы</t>
  </si>
  <si>
    <t>Доставка</t>
  </si>
  <si>
    <t>Итого по смете</t>
  </si>
  <si>
    <t>1. Фундамент плита 300 мм</t>
  </si>
  <si>
    <t>Номер</t>
  </si>
  <si>
    <t>Позиция</t>
  </si>
  <si>
    <t>ед. изм.</t>
  </si>
  <si>
    <t>кол-во</t>
  </si>
  <si>
    <t>цена, руб.</t>
  </si>
  <si>
    <t>стоимость, руб.</t>
  </si>
  <si>
    <t>ед</t>
  </si>
  <si>
    <t xml:space="preserve"> 1.1</t>
  </si>
  <si>
    <t>Установка закладных под коммуникации</t>
  </si>
  <si>
    <t>точка</t>
  </si>
  <si>
    <t xml:space="preserve"> 1.2</t>
  </si>
  <si>
    <t>Устройство песчаного основания с трамбовкой</t>
  </si>
  <si>
    <t>м2</t>
  </si>
  <si>
    <t xml:space="preserve"> 1.3</t>
  </si>
  <si>
    <t>Доработка грунта вручную</t>
  </si>
  <si>
    <t xml:space="preserve"> 1.4</t>
  </si>
  <si>
    <t xml:space="preserve">Устройство прокладочной гидроизоляции </t>
  </si>
  <si>
    <t xml:space="preserve"> 1.5</t>
  </si>
  <si>
    <t>Укладка бетона с вязкой арматурных каркасов и установкой опалубки</t>
  </si>
  <si>
    <t>м3</t>
  </si>
  <si>
    <t xml:space="preserve"> 1.6</t>
  </si>
  <si>
    <t>Устройство  оклеечной гидроизоляции фундамента рулонными материалами 1 слой</t>
  </si>
  <si>
    <t xml:space="preserve"> 1.7</t>
  </si>
  <si>
    <t xml:space="preserve">Демонтаж опалубки с последующей засыпкой пазух фундамента песком с послойной утрамбовкой </t>
  </si>
  <si>
    <t>Материал</t>
  </si>
  <si>
    <t xml:space="preserve"> 2.1</t>
  </si>
  <si>
    <t>Бетон тяжелый В22,5 (М300)</t>
  </si>
  <si>
    <t xml:space="preserve"> 2.2</t>
  </si>
  <si>
    <t>Доска обрезная 50х200х6000 мм, Сосна</t>
  </si>
  <si>
    <t xml:space="preserve"> 2.3</t>
  </si>
  <si>
    <t>Доска обрезная 50х100х6000 мм, Сосна</t>
  </si>
  <si>
    <t xml:space="preserve"> 2.4</t>
  </si>
  <si>
    <t>Доска обрезная 25х120х6000 мм, Сосна</t>
  </si>
  <si>
    <t xml:space="preserve"> 2.5</t>
  </si>
  <si>
    <t>Арматура АIII Ø8 мм</t>
  </si>
  <si>
    <t>т</t>
  </si>
  <si>
    <t xml:space="preserve"> 2.6</t>
  </si>
  <si>
    <t>Арматура АIII Ø12 мм</t>
  </si>
  <si>
    <t xml:space="preserve"> 2.7</t>
  </si>
  <si>
    <t>Вязальная проволока Ø1.2 мм</t>
  </si>
  <si>
    <t xml:space="preserve"> 2.8</t>
  </si>
  <si>
    <t>Песок с доставкой</t>
  </si>
  <si>
    <t xml:space="preserve"> 2.9</t>
  </si>
  <si>
    <t>Праймер битумный  (14 кг)</t>
  </si>
  <si>
    <t>ведро</t>
  </si>
  <si>
    <t xml:space="preserve"> 2.10</t>
  </si>
  <si>
    <t>Линокром сланец серый ХПП 15м2</t>
  </si>
  <si>
    <t>рул</t>
  </si>
  <si>
    <t xml:space="preserve"> 2.11</t>
  </si>
  <si>
    <t>Мембрана профилированная Planter standard 1х20м (20м2) рул</t>
  </si>
  <si>
    <t xml:space="preserve"> 2.12</t>
  </si>
  <si>
    <t>Закаладные под коммуникации</t>
  </si>
  <si>
    <t>компл</t>
  </si>
  <si>
    <t xml:space="preserve"> 2.13</t>
  </si>
  <si>
    <t>Расходные материалы</t>
  </si>
  <si>
    <t xml:space="preserve"> 3.1</t>
  </si>
  <si>
    <t>Услуги экскаватора погрузчика</t>
  </si>
  <si>
    <t>смена</t>
  </si>
  <si>
    <t xml:space="preserve"> 3.2</t>
  </si>
  <si>
    <t xml:space="preserve">Аренда бетононасоса </t>
  </si>
  <si>
    <t xml:space="preserve"> 3.3</t>
  </si>
  <si>
    <t>Аренда виброплиты</t>
  </si>
  <si>
    <t xml:space="preserve"> 3.4</t>
  </si>
  <si>
    <t>Доставка виброплиты</t>
  </si>
  <si>
    <t>рейс</t>
  </si>
  <si>
    <t>Кладка цоколя из кирпича</t>
  </si>
  <si>
    <t>Кладка стен из керамзитобетонных блоков</t>
  </si>
  <si>
    <t>Теплоизоляция стен в 1 слой (100 мм)</t>
  </si>
  <si>
    <t>Кладка столбов из лицевого кирпича с расшивкой швов</t>
  </si>
  <si>
    <t>п.м</t>
  </si>
  <si>
    <t>Укладка ж/б перемычек</t>
  </si>
  <si>
    <t>шт</t>
  </si>
  <si>
    <t>Блок керамзитобетонный стеновой 390х190х188</t>
  </si>
  <si>
    <t>Кирпич керамический полнотелый (250х120х65мм) красный</t>
  </si>
  <si>
    <t>Цемент М-500 ЦЕМ II/A-П 42,5Н 40кг</t>
  </si>
  <si>
    <t>мешок</t>
  </si>
  <si>
    <t>Перемычки 1ПБ-13-1п</t>
  </si>
  <si>
    <t>Уголок 63x63x3</t>
  </si>
  <si>
    <t>Уголок 100x100x5</t>
  </si>
  <si>
    <t>Плита Теплекс Плита ТЕПЛЕКС 1185х585х100мм (упак =4 шт)</t>
  </si>
  <si>
    <t>упак</t>
  </si>
  <si>
    <t>Кладочная сварная сетка СЕТКА АЛЬКОР ячейка 50x50мм 500х2000мм</t>
  </si>
  <si>
    <t>Сетка оцинкованная 25х25х250х25000 1.6мм</t>
  </si>
  <si>
    <t xml:space="preserve"> 20.1</t>
  </si>
  <si>
    <t>Доставка керамзитобетонных блоков</t>
  </si>
  <si>
    <t xml:space="preserve"> 20.2</t>
  </si>
  <si>
    <t>Доставка облицовочного кирпича</t>
  </si>
  <si>
    <t xml:space="preserve"> 20.3</t>
  </si>
  <si>
    <t>Доставка стройматериалов</t>
  </si>
  <si>
    <t xml:space="preserve"> 20.4</t>
  </si>
  <si>
    <t>Доставка перемычек</t>
  </si>
  <si>
    <t xml:space="preserve"> 20.5</t>
  </si>
  <si>
    <t>Услуги манипулятора</t>
  </si>
  <si>
    <t>Итого по этапу</t>
  </si>
  <si>
    <t>В том числе:</t>
  </si>
  <si>
    <t>работы</t>
  </si>
  <si>
    <t>материалы и пр.</t>
  </si>
  <si>
    <t>Всего по этапу</t>
  </si>
  <si>
    <t>2. Фундамент Ленточный 1700х500</t>
  </si>
  <si>
    <t>Ленточный фундамент (ростверк) 1700х500мм</t>
  </si>
  <si>
    <t xml:space="preserve">    Пленка полиэтиленовая толщ. 150мкн рукав шир.1500 мм</t>
  </si>
  <si>
    <t xml:space="preserve">    Доска обрезная 40х100 (опалубка, подмости) 2 сорт</t>
  </si>
  <si>
    <t xml:space="preserve">      Доска обрезная 25х100 (опалубка ) 2 сорт</t>
  </si>
  <si>
    <t xml:space="preserve">    Арматура А500С ø12 мм </t>
  </si>
  <si>
    <t>кг</t>
  </si>
  <si>
    <t xml:space="preserve">    Арматура А500С ø8 мм</t>
  </si>
  <si>
    <t xml:space="preserve">    Проволока вязальная ø1,2 мм</t>
  </si>
  <si>
    <t xml:space="preserve">    Фиксаторы защитного слоя бетона</t>
  </si>
  <si>
    <t xml:space="preserve"> 1.8</t>
  </si>
  <si>
    <t xml:space="preserve">    Бетон B25 (М350) с доставкой</t>
  </si>
  <si>
    <t xml:space="preserve"> 1.9</t>
  </si>
  <si>
    <t xml:space="preserve">    Расходные материалы для устройства фундаментов </t>
  </si>
  <si>
    <t xml:space="preserve"> 1.10</t>
  </si>
  <si>
    <t xml:space="preserve">  Мастика технониколь Праймер битумный №01, 16кг, 20 л,</t>
  </si>
  <si>
    <t xml:space="preserve"> 1.11</t>
  </si>
  <si>
    <t>Гидроизоляция Линокром ХПП Технониколь черный 15 кв.м ( первый слой)</t>
  </si>
  <si>
    <t xml:space="preserve"> 1.12</t>
  </si>
  <si>
    <t xml:space="preserve">    ЭППС 50мм</t>
  </si>
  <si>
    <t xml:space="preserve"> 1.13</t>
  </si>
  <si>
    <t xml:space="preserve">  Клей-пена для крепления пенополистирола Технониколь PROFESSIONAL 1000 мл</t>
  </si>
  <si>
    <t>бал</t>
  </si>
  <si>
    <t xml:space="preserve"> 1.14</t>
  </si>
  <si>
    <t>Крепеж Технониколь №01 для XPS и Planter</t>
  </si>
  <si>
    <t xml:space="preserve"> 1.15</t>
  </si>
  <si>
    <t xml:space="preserve">  Доставка арматуры, металлопроката манипулятором до 9т. </t>
  </si>
  <si>
    <t xml:space="preserve"> 1.16</t>
  </si>
  <si>
    <t xml:space="preserve">  Доставка материала автомобилями  до 3 тонн</t>
  </si>
  <si>
    <t xml:space="preserve"> 1.17</t>
  </si>
  <si>
    <t xml:space="preserve">  Аренда бетононасоса </t>
  </si>
  <si>
    <t xml:space="preserve"> 1.18</t>
  </si>
  <si>
    <t xml:space="preserve">  Аренда вибратора глубинного для уплотнения бетона</t>
  </si>
  <si>
    <t xml:space="preserve"> 1.19</t>
  </si>
  <si>
    <t xml:space="preserve">    Разметка фундамента</t>
  </si>
  <si>
    <t xml:space="preserve"> 1.20</t>
  </si>
  <si>
    <t xml:space="preserve">    Вязка арматурного каркаса ленточного фундамента</t>
  </si>
  <si>
    <t xml:space="preserve"> 1.21</t>
  </si>
  <si>
    <t xml:space="preserve">    Монтаж /демонтаж опалубки ленточного фундамента </t>
  </si>
  <si>
    <t xml:space="preserve"> 1.22</t>
  </si>
  <si>
    <t xml:space="preserve">    Бетонирование конструкций ленточного фундамента  с уплотнением с подачей бетона бетононасосом</t>
  </si>
  <si>
    <t xml:space="preserve"> 1.23</t>
  </si>
  <si>
    <t xml:space="preserve">    Обмазочная гидроизоляция  поверхности </t>
  </si>
  <si>
    <t xml:space="preserve"> 1.24</t>
  </si>
  <si>
    <t xml:space="preserve">  Гидроизоляция поверхности наплавляемыми материалами на 1 слой </t>
  </si>
  <si>
    <t xml:space="preserve"> 1.25</t>
  </si>
  <si>
    <t xml:space="preserve">  Укладка утеплителя в разбежку с проклеиванием стыков монтажной пеной  1 слой</t>
  </si>
  <si>
    <t>3. Фундамент Сваи 150х150</t>
  </si>
  <si>
    <t xml:space="preserve">Работы </t>
  </si>
  <si>
    <t>Монтаж свай забивных 150х150</t>
  </si>
  <si>
    <t>Монтаж оголовков свай 200х200</t>
  </si>
  <si>
    <t>Устройство  гидроизоляции фундамента рулонными материалами 2 слоя (под обвязку)</t>
  </si>
  <si>
    <t>Устройство обвязки на фундамент</t>
  </si>
  <si>
    <t>п.м.</t>
  </si>
  <si>
    <t>Материалы - Фундамент</t>
  </si>
  <si>
    <t>Свая С30.15 (150х150х3000 мм)</t>
  </si>
  <si>
    <t>Оголовок Пластина ЖБ 200х200х4
мм</t>
  </si>
  <si>
    <t>Гидроизоляция Технониколь 10 м2</t>
  </si>
  <si>
    <t>Межвенцовый утеплитель джутовый 10×200мм (20м)</t>
  </si>
  <si>
    <t>Доставка и механизмы</t>
  </si>
  <si>
    <t>Доставка - сваи</t>
  </si>
  <si>
    <t>Доставка - сваебойная установка</t>
  </si>
  <si>
    <t>ресй</t>
  </si>
  <si>
    <t>4. Фундамент Сваи 200х200</t>
  </si>
  <si>
    <t>Монтаж свай забивных 200х200</t>
  </si>
  <si>
    <t>Монтаж оголовков свай 250х250</t>
  </si>
  <si>
    <t>Устройство обвязки на фундамент с антисептированием и гидроизоляцией фундамента рулонными материалами 2 слоя (под обвязку)</t>
  </si>
  <si>
    <t xml:space="preserve">Укладка лаг </t>
  </si>
  <si>
    <t>Свая С40.20 (200х200х4000 мм)</t>
  </si>
  <si>
    <t>Оголовок Пластина ЖБ 250х250х4
мм</t>
  </si>
  <si>
    <t>Доска обрезная камерной сушки 50х200х6000 мм, Сосна</t>
  </si>
  <si>
    <t>Антисептик Огнебио 10 кг (2 группа защиты)</t>
  </si>
  <si>
    <t>кан.</t>
  </si>
  <si>
    <t>Герметик теплый шов Серебристая сосна, 600 мл</t>
  </si>
  <si>
    <t>Межвенцовый утеплитель Шелтер 5х160 мм (20м/рул)</t>
  </si>
  <si>
    <t>Доставка - стройматериалы</t>
  </si>
  <si>
    <t>5. Перекрытие сборное (пустотные плиты)</t>
  </si>
  <si>
    <t>Работа</t>
  </si>
  <si>
    <t xml:space="preserve">Устройство ж/б плит перекрытия
</t>
  </si>
  <si>
    <t>Укладка бетона с вязкой арматурных каркасов и установкой опалубки монолитного участка с анкерами</t>
  </si>
  <si>
    <t>Бетон тяжелый В25 (М350)</t>
  </si>
  <si>
    <t>Арматура АIII Ø10 мм</t>
  </si>
  <si>
    <t>ПБ 30.12-8 плита пустотного настила</t>
  </si>
  <si>
    <t>Техника</t>
  </si>
  <si>
    <t xml:space="preserve">6. Перекрытие по балкам </t>
  </si>
  <si>
    <t>Кладка перегородок из блоков 120мм толщина</t>
  </si>
  <si>
    <t>Блок керамзитобетонный перегородочный 390х120х188</t>
  </si>
  <si>
    <t>Устройство железобетонного монолитного пояса</t>
  </si>
  <si>
    <t>пм</t>
  </si>
  <si>
    <t>Работы - перекрытие</t>
  </si>
  <si>
    <t xml:space="preserve"> 4.1</t>
  </si>
  <si>
    <t>Укладка балок</t>
  </si>
  <si>
    <t xml:space="preserve"> 4.2</t>
  </si>
  <si>
    <t xml:space="preserve">Монтаж теплоизоляции потолка минераловатными плитами 200 мм </t>
  </si>
  <si>
    <t xml:space="preserve"> 4.3</t>
  </si>
  <si>
    <t>Устройство пароизоляции</t>
  </si>
  <si>
    <t xml:space="preserve"> 4.4</t>
  </si>
  <si>
    <t>Монтаж обрешетки шаговой нижняя</t>
  </si>
  <si>
    <t xml:space="preserve"> 4.5</t>
  </si>
  <si>
    <t>Проклейка пароизоляции по периметру</t>
  </si>
  <si>
    <t xml:space="preserve"> 5.1</t>
  </si>
  <si>
    <t xml:space="preserve"> 5.2</t>
  </si>
  <si>
    <t xml:space="preserve"> 5.3</t>
  </si>
  <si>
    <t xml:space="preserve"> 5.4</t>
  </si>
  <si>
    <t>Материал - перекрытиеи</t>
  </si>
  <si>
    <t xml:space="preserve"> 6.1</t>
  </si>
  <si>
    <t xml:space="preserve"> 6.2</t>
  </si>
  <si>
    <t xml:space="preserve"> 6.3</t>
  </si>
  <si>
    <t>Брусок обрезной 50х50х3000 мм, хвоя, сорт 1</t>
  </si>
  <si>
    <t xml:space="preserve"> 6.4</t>
  </si>
  <si>
    <t>KNAUF Climowool TS 035 50х600х1250 мм (12м2/0,6м3)</t>
  </si>
  <si>
    <t>упак.</t>
  </si>
  <si>
    <t xml:space="preserve"> 6.5</t>
  </si>
  <si>
    <t>Baustill В 70 пароизоляция 1,6*43,75 (70 м2)</t>
  </si>
  <si>
    <t xml:space="preserve"> 7.1</t>
  </si>
  <si>
    <t>Доставка материалов</t>
  </si>
  <si>
    <t>7. Стены кладка керамзитобетонный блок 390х190х188</t>
  </si>
  <si>
    <t>Облицовка стен облицовочным кирпичом</t>
  </si>
  <si>
    <t>Монтаж металлических перемычек</t>
  </si>
  <si>
    <t>Кирпич керамический лицевой пустотелый 250х120х88 шоколад</t>
  </si>
  <si>
    <t>Кирпич керамический лицевой пустотелый 250х120х88 пшеничный</t>
  </si>
  <si>
    <t xml:space="preserve"> 21.1</t>
  </si>
  <si>
    <t xml:space="preserve"> 21.2</t>
  </si>
  <si>
    <t xml:space="preserve"> 21.3</t>
  </si>
  <si>
    <t xml:space="preserve"> 21.4</t>
  </si>
  <si>
    <t xml:space="preserve"> 21.5</t>
  </si>
  <si>
    <t>8. Сенты 2,1Нф</t>
  </si>
  <si>
    <t>Подготовка цементного раствора</t>
  </si>
  <si>
    <t>Кладка стен из кирпича 2,1 НФ</t>
  </si>
  <si>
    <t>Укладка ж/б перемычек сборных</t>
  </si>
  <si>
    <t>Устройство монолитной ж/б перемычки</t>
  </si>
  <si>
    <t>Устройство монолитной ж/б балки Б1</t>
  </si>
  <si>
    <t>Стеклоизол (1x9м2) рул</t>
  </si>
  <si>
    <t>Кирпич керамический щелевой 2,1 НФ</t>
  </si>
  <si>
    <t>Кирпич КР-л-пу 1НФ 250*120*65 Асфальт Флэш М200</t>
  </si>
  <si>
    <t>Перемычка жб 2 ПБ 16-2п</t>
  </si>
  <si>
    <t>Перемычка жб 2 ПБ 19-3п</t>
  </si>
  <si>
    <t>Уголок 100x100x7</t>
  </si>
  <si>
    <t>Кладочная сварная сетка СЕТКА ячейка 50x50мм 1000х2000мм</t>
  </si>
  <si>
    <t>Вентиляционные коробочки упак</t>
  </si>
  <si>
    <t>9. Каркасные стены 200мм</t>
  </si>
  <si>
    <t>Установка элементов каркаса стен</t>
  </si>
  <si>
    <t xml:space="preserve">Монтаж теплоизоляции стен минераловатными плитами </t>
  </si>
  <si>
    <t>Устройство прокладочной гидроизоляции (геотекстиль, рулонные материалы, мембрана)</t>
  </si>
  <si>
    <t>Монтаж обрешетки шаговой</t>
  </si>
  <si>
    <t>Монтаж контробрешетки</t>
  </si>
  <si>
    <t>Облицовка цоколя</t>
  </si>
  <si>
    <t>Антисептирование деревянных конструкций</t>
  </si>
  <si>
    <t xml:space="preserve"> 9.1</t>
  </si>
  <si>
    <t>Доска обрезная 50х150х6000 мм сорт 1</t>
  </si>
  <si>
    <t xml:space="preserve"> 9.2</t>
  </si>
  <si>
    <t>Доска обрезная 25х150х6000 мм, Сосна</t>
  </si>
  <si>
    <t xml:space="preserve"> 9.3</t>
  </si>
  <si>
    <t>Брусок обрезной камерной сушки 50х50х3000 мм, хвоя, сорт 1</t>
  </si>
  <si>
    <t xml:space="preserve"> 9.4</t>
  </si>
  <si>
    <t>Брусок строганный, камерной сушки 20х40х3000 мм</t>
  </si>
  <si>
    <t xml:space="preserve"> 9.5</t>
  </si>
  <si>
    <t xml:space="preserve"> 9.6</t>
  </si>
  <si>
    <t xml:space="preserve"> 9.7</t>
  </si>
  <si>
    <t xml:space="preserve">Соединительная лента (для диффузионной мембраны / гидро-ветрозащитная мембрана) </t>
  </si>
  <si>
    <t xml:space="preserve"> 9.8</t>
  </si>
  <si>
    <t>Baustill АS 125 диффузионная 3-х слойная мембрана 1,6*43,75 (70 м2)</t>
  </si>
  <si>
    <t xml:space="preserve"> 9.9</t>
  </si>
  <si>
    <t xml:space="preserve"> 10.1</t>
  </si>
  <si>
    <t>Доставка - пиломатериал</t>
  </si>
  <si>
    <t>10. Стены из клееного бруса 160х185</t>
  </si>
  <si>
    <t>Монтаж стен и перегородок из клееного бруса</t>
  </si>
  <si>
    <t>Монтаж шпильки сборной</t>
  </si>
  <si>
    <t>Брус клееный 160х185х3000 мм, Сосна</t>
  </si>
  <si>
    <t>Имитация бруса «Карельский профиль» 18 мм (хвоя), сорт АВ</t>
  </si>
  <si>
    <t>Шпилька резьбовая ОЦ. 14х1000 мм (РФ усилен.)</t>
  </si>
  <si>
    <t>Доставка - Клееный брус и пиломатериалы</t>
  </si>
  <si>
    <t>фура</t>
  </si>
  <si>
    <t>Аренда - Автокран</t>
  </si>
  <si>
    <t>11. Стены Брус 240</t>
  </si>
  <si>
    <t>Монтаж колон деревянных</t>
  </si>
  <si>
    <t>Брус клееный на столбы 240х240х6000мм сосна</t>
  </si>
  <si>
    <t>Брус клееный 275х240х3000 мм, Сосна</t>
  </si>
  <si>
    <t>Межвенцовый утеплитель Шелтер 8х200 мм (20м/рул)</t>
  </si>
  <si>
    <t>Механизмы и доставка</t>
  </si>
  <si>
    <t xml:space="preserve">Услуги манипулятора </t>
  </si>
  <si>
    <t>12. Перегородки керамзитобетонные блоки 390х120х188</t>
  </si>
  <si>
    <t>13. перегородки кирпич 120 мм</t>
  </si>
  <si>
    <t>Кладка перегородок из кирпича 120мм толщина</t>
  </si>
  <si>
    <t xml:space="preserve">14. Обшивка наружная металлическая имитация </t>
  </si>
  <si>
    <t xml:space="preserve">Монтаж сайдинга (фасад) </t>
  </si>
  <si>
    <t>Материал фасад</t>
  </si>
  <si>
    <t>Сайдинг ЭкоБрус RAL 7024 А (пог.м)</t>
  </si>
  <si>
    <t>пог. м</t>
  </si>
  <si>
    <t>Упаковка сайдинга ЭБ (поддон)</t>
  </si>
  <si>
    <t>м</t>
  </si>
  <si>
    <t>Планка стыковочная СЛ ЭкоБрус RAL 7024</t>
  </si>
  <si>
    <t>J-профиль ЭкоБрус RAL 7024</t>
  </si>
  <si>
    <t>Планка стартовая (2,5м)</t>
  </si>
  <si>
    <t xml:space="preserve">Фасадная панель GL Состаренный кирпич Classic графит
</t>
  </si>
  <si>
    <t xml:space="preserve">Угол GL Состаренный кирпич Classic графит
</t>
  </si>
  <si>
    <t xml:space="preserve">Стартовый профиль для фасадных панелей GL 3,0 пластиковый
</t>
  </si>
  <si>
    <t xml:space="preserve">Стартовый элемент для угла фасадной панели GL
</t>
  </si>
  <si>
    <t>15. Армопояс</t>
  </si>
  <si>
    <t>Работа монолиный пояс</t>
  </si>
  <si>
    <t>Материал Монолитный пояс</t>
  </si>
  <si>
    <t>Бетон тяжелый В20 (М250)</t>
  </si>
  <si>
    <t>Доска обрезная 50х150х6000 мм, Сосна</t>
  </si>
  <si>
    <t>Шпилька 10х1000 мм</t>
  </si>
  <si>
    <t xml:space="preserve">Шпилька 12х1000 мм </t>
  </si>
  <si>
    <t>16. Кровля МЧ</t>
  </si>
  <si>
    <t>Монтаж стропильной системы</t>
  </si>
  <si>
    <t>Устройство подкровельной мембранной гидроизоляции</t>
  </si>
  <si>
    <t>Монтаж обрешетки шаговой верхняя</t>
  </si>
  <si>
    <t xml:space="preserve"> 3.5</t>
  </si>
  <si>
    <t>Устройство покрытия кровли из металлочерепицы</t>
  </si>
  <si>
    <t xml:space="preserve"> 3.6</t>
  </si>
  <si>
    <t>Подшивка карнизных свесов софитами</t>
  </si>
  <si>
    <t xml:space="preserve"> 3.7</t>
  </si>
  <si>
    <t>Устройство водосточной системы</t>
  </si>
  <si>
    <t xml:space="preserve"> 3.8</t>
  </si>
  <si>
    <t>Монтаж снегозадержателя трубчатого</t>
  </si>
  <si>
    <t xml:space="preserve"> 3.9</t>
  </si>
  <si>
    <t>Монтаж вент выходов</t>
  </si>
  <si>
    <t xml:space="preserve"> 3.10</t>
  </si>
  <si>
    <t>Облицовка дымохода профлистом</t>
  </si>
  <si>
    <t>Материал стропильная система</t>
  </si>
  <si>
    <t xml:space="preserve">Брус обрезной 150х150х6000 мм, хвоя, сорт 1 </t>
  </si>
  <si>
    <t>Материал кровельного покрытия</t>
  </si>
  <si>
    <t>Профнастил Дружный С21R 0,45 PE RAL 8017</t>
  </si>
  <si>
    <t>МЧ-профиль RAL 8017 супермонтеррей</t>
  </si>
  <si>
    <t>Поддон под МЧ</t>
  </si>
  <si>
    <t>Планка коньковая 150х150 RAL 8017 (2м)</t>
  </si>
  <si>
    <t xml:space="preserve"> 5.5</t>
  </si>
  <si>
    <t>Планка карнизная 100х65 RAL 8017 шоколад (2м)</t>
  </si>
  <si>
    <t xml:space="preserve"> 5.6</t>
  </si>
  <si>
    <t>Планка карнизного свеса</t>
  </si>
  <si>
    <t xml:space="preserve"> 5.7</t>
  </si>
  <si>
    <t>Нестандартный элемент с пленкой RAL 8017</t>
  </si>
  <si>
    <t xml:space="preserve"> 5.8</t>
  </si>
  <si>
    <t>Лента вентиляционная карнизная GL коричневая 100*5000 (5м)</t>
  </si>
  <si>
    <t xml:space="preserve"> 5.9</t>
  </si>
  <si>
    <t>Уплотнитель коньковый пенополиуретановый
самоклеющийся 25x40 L=2м</t>
  </si>
  <si>
    <t xml:space="preserve"> 5.10</t>
  </si>
  <si>
    <t>Аэроэлемент конька OPTIMA черный 230мм (5м)</t>
  </si>
  <si>
    <t xml:space="preserve"> 5.11</t>
  </si>
  <si>
    <t>Baustill Tape pro односторонняя акриловая лента 60*25м</t>
  </si>
  <si>
    <t xml:space="preserve"> 5.12</t>
  </si>
  <si>
    <t>Baustill АМ 90 диффузионная 3-х слойная мембрана 1,6*43,75 (70 м2)</t>
  </si>
  <si>
    <t xml:space="preserve"> 5.22</t>
  </si>
  <si>
    <t>Труба ПВХ Grand Line 3м графит (RAL 8017)</t>
  </si>
  <si>
    <t xml:space="preserve"> 5.24</t>
  </si>
  <si>
    <t>Софит, частично перфорированный (3000 х 340, 0,924 м2), 3м RAL  9003</t>
  </si>
  <si>
    <t xml:space="preserve"> 5.25</t>
  </si>
  <si>
    <t>J-профиль ТН, каштан, 3 м</t>
  </si>
  <si>
    <t xml:space="preserve"> 5.26</t>
  </si>
  <si>
    <t>Колпак над вентшахтой</t>
  </si>
  <si>
    <t xml:space="preserve"> 5.27</t>
  </si>
  <si>
    <t>Крепежи</t>
  </si>
  <si>
    <t>комп</t>
  </si>
  <si>
    <t xml:space="preserve">Доставка </t>
  </si>
  <si>
    <t>17. Кровля Клик фальц</t>
  </si>
  <si>
    <t>Монтаж обрешетки шаговой нижней</t>
  </si>
  <si>
    <t>Монтаж теплоизоляции кровли минераловатными плитами в 4 слоя (200 мм по 50мм)</t>
  </si>
  <si>
    <t>Монтаж обрешетки шаговой верхней</t>
  </si>
  <si>
    <t>Устройство покрытия кровли клик-фальц</t>
  </si>
  <si>
    <t>Устройство доборных элементов кровли (конек, планки)</t>
  </si>
  <si>
    <t xml:space="preserve">Подшив свесов софитами </t>
  </si>
  <si>
    <t>Материалы Стропильной системы</t>
  </si>
  <si>
    <t>Доска обрезная, камерной сушки 50х200*6000</t>
  </si>
  <si>
    <t>Доска обрезная камерной сушки 25х120х6000 мм, Сосна</t>
  </si>
  <si>
    <t>Материал покрытия</t>
  </si>
  <si>
    <t>Кликфальц Grand Line 0,5 Satin с пленкой на замках RAL 7024 мокрый асфальт</t>
  </si>
  <si>
    <t>Саморез ПШ Grand Line Smart Fix 4,2х25 (500шт) шлиц PH2, цинк</t>
  </si>
  <si>
    <t>Саморез кровельный Daxmer 4,8х29 RAL 7024 (250) сверло №1</t>
  </si>
  <si>
    <t>Вентилируемый прогон опорный фальц 35 0,45 PE RAL 7024 мокрый асфальт (0,5м)</t>
  </si>
  <si>
    <t>Планка конька плоского 220х50х220 0,5 Satin с пленкой RAL 7024 мокрый асфальт (2м)</t>
  </si>
  <si>
    <t>Планка торцевая кровельная фальц 65х97 0,5 PE с пленкой RAL 7024 мокрый асфальт (2м)</t>
  </si>
  <si>
    <t>Планка карнизная фальц Grand Line 130х80 0,45 PE с пленкой RAL 7024 мокрый асфальт (2м)</t>
  </si>
  <si>
    <t>Планка капельник 100х55 с пленкой RAL 7024 мокрый асфальт (2м)</t>
  </si>
  <si>
    <t>Планка примыкания с пленкой RAL 7024 (2м)</t>
  </si>
  <si>
    <t>Планка крепежная фальц 0,5 PE с пленкой RAL 7024 мокрый асфальт (2м)</t>
  </si>
  <si>
    <t xml:space="preserve"> 3.11</t>
  </si>
  <si>
    <t>Планка Ендовы нижней оц. (300*300)</t>
  </si>
  <si>
    <t xml:space="preserve"> 3.12</t>
  </si>
  <si>
    <t>Нестандартный элемент с пленкой RAL 7024 мокрый асфальт</t>
  </si>
  <si>
    <t xml:space="preserve"> 3.15</t>
  </si>
  <si>
    <t>Аэроэлемент конька GRAND LINE черный (5м)</t>
  </si>
  <si>
    <t xml:space="preserve"> 3.16</t>
  </si>
  <si>
    <t xml:space="preserve"> 3.17</t>
  </si>
  <si>
    <t xml:space="preserve"> 3.18</t>
  </si>
  <si>
    <t>Мембрана супердиффузионная Grand Line 130 (75м2)</t>
  </si>
  <si>
    <t xml:space="preserve"> 3.19</t>
  </si>
  <si>
    <t>Материал пароизоляционный Grand Line Н98 (75м2)</t>
  </si>
  <si>
    <t xml:space="preserve"> 3.20</t>
  </si>
  <si>
    <t>Лента односторонняя универсальная высокопрочная ULTRA BAND 50мм х 25м</t>
  </si>
  <si>
    <t xml:space="preserve"> 3.21</t>
  </si>
  <si>
    <t>Лента уплотнительная под контробрешетку самоклеящаяся Grand Line X-Band 50ммх30мх3мм</t>
  </si>
  <si>
    <t xml:space="preserve"> 3.22</t>
  </si>
  <si>
    <t>Подкладочный ковер ANDEREP PROF, 40 м2</t>
  </si>
  <si>
    <t xml:space="preserve"> 3.23</t>
  </si>
  <si>
    <t>Софит Classic Grand Line частично перфорированный серый графит (3,0м)</t>
  </si>
  <si>
    <t xml:space="preserve"> 3.24</t>
  </si>
  <si>
    <t>Профиль J Grand Line Standart серый графит (3,0м)</t>
  </si>
  <si>
    <t xml:space="preserve"> 3.31</t>
  </si>
  <si>
    <t>Труба ПВХ Grand Line 3м графит (RAL 7024)</t>
  </si>
  <si>
    <t>Доставка - Кровельный материал</t>
  </si>
  <si>
    <t>18. Водосточка и снегозадержатели</t>
  </si>
  <si>
    <t>ТН ПВХ Воронка желоба, серая</t>
  </si>
  <si>
    <t>ТН ПВХ Труба 3м, серый</t>
  </si>
  <si>
    <t>ТН ПВХ Заглушка желоба, серая</t>
  </si>
  <si>
    <t>ТН ПВХ Колено трубы 135, серый</t>
  </si>
  <si>
    <t>ТН ПВХ Слив трубы, серый</t>
  </si>
  <si>
    <t>ТН ПВХ Желоб 3м, серый</t>
  </si>
  <si>
    <t>ТН ПВХ Соединитель желоба, серый</t>
  </si>
  <si>
    <t>ТН ПВХ Муфта трубы, серый</t>
  </si>
  <si>
    <t>ТН ПВХ Хомут трубы универсальный L=140, серый</t>
  </si>
  <si>
    <t>ТН ПВХ Кронштейн желоба металлический, серый</t>
  </si>
  <si>
    <t>Снегозадержатель NEW трубчатый Grand Line RAL 7024 3м</t>
  </si>
  <si>
    <t>19. Окна ПВХ ламинация с одной стороны</t>
  </si>
  <si>
    <t>Монтаж оконных конструкций (ПВХ)</t>
  </si>
  <si>
    <t xml:space="preserve"> Brusbox 70-5 AERO LG Антрацитово-серый снаружи KDB74_Z8  S= 2,56 м2</t>
  </si>
  <si>
    <t xml:space="preserve"> Brusbox 70-5 AERO LG Антрацитово-серый снаружи KDB74_Z8  S= 2,575 м2</t>
  </si>
  <si>
    <t xml:space="preserve"> Brusbox 70-5 AERO LG Антрацитово-серый снаружи KDB74_Z8  S= 1,327 м2</t>
  </si>
  <si>
    <t xml:space="preserve">шт </t>
  </si>
  <si>
    <t xml:space="preserve"> Brusbox 70-5 AERO LG Антрацитово-серый снаружи KDB74_Z8  S= 2,249 м2</t>
  </si>
  <si>
    <t>Brusbox 70-5 AERO LG Антрацитово-серый снаружи KDB74_Z8  S= 5,563 м2</t>
  </si>
  <si>
    <t>20. Входная временная дверь</t>
  </si>
  <si>
    <t>Монтаж входной временной двери</t>
  </si>
  <si>
    <t>Входная временная дверь</t>
  </si>
  <si>
    <t>Сроки производства работ</t>
  </si>
  <si>
    <t>Начало работ:</t>
  </si>
  <si>
    <t>13 марта 2024 г.</t>
  </si>
  <si>
    <t>Окончание работ:</t>
  </si>
  <si>
    <t>8 августа 2026 г.</t>
  </si>
  <si>
    <t>Длительность:</t>
  </si>
  <si>
    <t>879 дней</t>
  </si>
  <si>
    <t>Подрядчик</t>
  </si>
  <si>
    <t xml:space="preserve">                                 (подпись)                                       м.п.</t>
  </si>
  <si>
    <t>(расшифровка подписи)</t>
  </si>
  <si>
    <t>Заказчик</t>
  </si>
  <si>
    <t>Монолитное перекрытие</t>
  </si>
  <si>
    <t>-</t>
  </si>
  <si>
    <t>стены керамический блок 440 мм</t>
  </si>
  <si>
    <t>Каркасные стены 150мм</t>
  </si>
  <si>
    <t>Окна без ламинации</t>
  </si>
  <si>
    <t>Категория</t>
  </si>
  <si>
    <t>Вариант</t>
  </si>
  <si>
    <t>Ед. изм.</t>
  </si>
  <si>
    <t>Цена (руб)</t>
  </si>
  <si>
    <t>Фундамент</t>
  </si>
  <si>
    <t>м³</t>
  </si>
  <si>
    <t>35861.41</t>
  </si>
  <si>
    <t>Сваи 150х150</t>
  </si>
  <si>
    <t>Сваи 200х200</t>
  </si>
  <si>
    <t>ОТСУТСТВУЕТ</t>
  </si>
  <si>
    <t>Стены (кладка)</t>
  </si>
  <si>
    <t>Керамзитоблок 390х190х188</t>
  </si>
  <si>
    <t>2,1 НФ кирпич</t>
  </si>
  <si>
    <t>64074.71</t>
  </si>
  <si>
    <t>Керамический блок 440 мм</t>
  </si>
  <si>
    <t>Газобетон D400</t>
  </si>
  <si>
    <t>Каркасные стены 200 мм</t>
  </si>
  <si>
    <t>м²</t>
  </si>
  <si>
    <t>Каркасные стены 150 мм</t>
  </si>
  <si>
    <t>Брус 160х185</t>
  </si>
  <si>
    <t>Брус 240</t>
  </si>
  <si>
    <t>78360.69</t>
  </si>
  <si>
    <t>Облицовка фасада</t>
  </si>
  <si>
    <t>Облицовочный кирпич</t>
  </si>
  <si>
    <t>Металлический сайдинг</t>
  </si>
  <si>
    <t>3826.29</t>
  </si>
  <si>
    <t>Штукатурка с утеплением</t>
  </si>
  <si>
    <t>Без облицовки</t>
  </si>
  <si>
    <t>Перегородки</t>
  </si>
  <si>
    <t>Керамзитобетонные блоки 390х120х188</t>
  </si>
  <si>
    <t>Кирпич 120 мм</t>
  </si>
  <si>
    <t>81213.44</t>
  </si>
  <si>
    <t>ГКЛ (двойной слой)</t>
  </si>
  <si>
    <t>Брус 100х150</t>
  </si>
  <si>
    <t>Армопояс</t>
  </si>
  <si>
    <t>4053.64</t>
  </si>
  <si>
    <t>Цокольное перекрытие</t>
  </si>
  <si>
    <t>Деревянное (по балкам)</t>
  </si>
  <si>
    <t>Сборное (пустотные плиты)</t>
  </si>
  <si>
    <t>Монолитное</t>
  </si>
  <si>
    <t>Межэтажное перекрытие</t>
  </si>
  <si>
    <t>Чердачное перекрытие</t>
  </si>
  <si>
    <t>Кровля</t>
  </si>
  <si>
    <t>Металлочерепица</t>
  </si>
  <si>
    <t>Клик-фальц</t>
  </si>
  <si>
    <t>8760.03</t>
  </si>
  <si>
    <t>Водосточная система</t>
  </si>
  <si>
    <t>Есть</t>
  </si>
  <si>
    <t>Окна</t>
  </si>
  <si>
    <t>Без ламинации</t>
  </si>
  <si>
    <t>ПВХ с ламинацией (1 сторона)</t>
  </si>
  <si>
    <t>Входная дверь</t>
  </si>
  <si>
    <t>Входная дверь (временная)</t>
  </si>
  <si>
    <t xml:space="preserve">Фундамент плита </t>
  </si>
  <si>
    <t>Размеры</t>
  </si>
  <si>
    <t>Длинна</t>
  </si>
  <si>
    <t>Ширина</t>
  </si>
  <si>
    <t xml:space="preserve">Площадь </t>
  </si>
  <si>
    <t>Объем</t>
  </si>
  <si>
    <t>Плита 350 мм</t>
  </si>
  <si>
    <t>Лента 1800х500</t>
  </si>
  <si>
    <t>цена сметная</t>
  </si>
  <si>
    <t>площадь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</si>
</sst>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43" formatCode="_-* #,##0.00_-;\-* #,##0.00_-;_-* &quot;-&quot;??_-;_-@_-"/>
  </numFmts>
  <fonts count="9" x14ac:knownFonts="1">
    <font>
      <sz val="9"/>
      <color rgb="FF000000"/>
      <name val="Tahoma"/>
    </font>
    <font>
      <b/>
      <sz val="9"/>
      <color rgb="FF000000"/>
      <name val="Tahoma"/>
    </font>
    <font>
      <b/>
      <sz val="10"/>
      <color rgb="FF000000"/>
      <name val="Tahoma"/>
    </font>
    <font>
      <sz val="9"/>
      <color rgb="FF548135"/>
      <name val="Tahoma"/>
    </font>
    <font>
      <sz val="9"/>
      <color rgb="FF1F497D"/>
      <name val="Tahoma"/>
    </font>
    <font>
      <sz val="9"/>
      <color rgb="FF806200"/>
      <name val="Tahoma"/>
    </font>
    <font>
      <b/>
      <i/>
      <sz val="9"/>
      <color rgb="FF000000"/>
      <name val="Tahoma"/>
    </font>
    <font>
      <vertAlign val="superscript"/>
      <sz val="9"/>
      <color rgb="FF000000"/>
      <name val="Tahoma"/>
    </font>
    <font>
      <sz val="9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0" fillId="2" borderId="1" xfId="0" applyFill="1" applyBorder="1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0" borderId="0" xfId="0" applyFont="1"/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 indent="1"/>
    </xf>
    <xf numFmtId="0" fontId="0" fillId="2" borderId="2" xfId="0" applyFill="1" applyBorder="1" applyAlignment="1">
      <alignment horizontal="left"/>
    </xf>
    <xf numFmtId="0" fontId="0" fillId="2" borderId="2" xfId="0" applyFill="1" applyBorder="1" applyAlignment="1">
      <alignment horizontal="left" indent="1"/>
    </xf>
    <xf numFmtId="0" fontId="4" fillId="0" borderId="0" xfId="0" applyFont="1"/>
    <xf numFmtId="0" fontId="4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 indent="1"/>
    </xf>
    <xf numFmtId="0" fontId="5" fillId="0" borderId="0" xfId="0" applyFont="1"/>
    <xf numFmtId="0" fontId="5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 indent="1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2" borderId="3" xfId="0" applyFont="1" applyFill="1" applyBorder="1"/>
    <xf numFmtId="44" fontId="0" fillId="0" borderId="0" xfId="1" applyFont="1"/>
    <xf numFmtId="44" fontId="1" fillId="3" borderId="2" xfId="1" applyFont="1" applyFill="1" applyBorder="1" applyAlignment="1">
      <alignment horizontal="right"/>
    </xf>
    <xf numFmtId="44" fontId="1" fillId="2" borderId="2" xfId="1" applyFont="1" applyFill="1" applyBorder="1" applyAlignment="1">
      <alignment horizontal="right"/>
    </xf>
    <xf numFmtId="44" fontId="3" fillId="2" borderId="2" xfId="1" applyFont="1" applyFill="1" applyBorder="1" applyAlignment="1">
      <alignment horizontal="right"/>
    </xf>
    <xf numFmtId="44" fontId="0" fillId="2" borderId="2" xfId="1" applyFont="1" applyFill="1" applyBorder="1" applyAlignment="1">
      <alignment horizontal="right"/>
    </xf>
    <xf numFmtId="44" fontId="4" fillId="2" borderId="2" xfId="1" applyFont="1" applyFill="1" applyBorder="1" applyAlignment="1">
      <alignment horizontal="right"/>
    </xf>
    <xf numFmtId="44" fontId="5" fillId="2" borderId="2" xfId="1" applyFont="1" applyFill="1" applyBorder="1" applyAlignment="1">
      <alignment horizontal="right"/>
    </xf>
    <xf numFmtId="44" fontId="1" fillId="0" borderId="0" xfId="1" applyFont="1" applyAlignment="1">
      <alignment horizontal="right"/>
    </xf>
    <xf numFmtId="44" fontId="0" fillId="0" borderId="0" xfId="1" applyFont="1" applyAlignment="1">
      <alignment horizontal="right"/>
    </xf>
    <xf numFmtId="44" fontId="6" fillId="0" borderId="0" xfId="1" applyFont="1" applyAlignment="1">
      <alignment horizontal="right"/>
    </xf>
    <xf numFmtId="44" fontId="1" fillId="0" borderId="0" xfId="1" applyFont="1"/>
    <xf numFmtId="43" fontId="0" fillId="0" borderId="0" xfId="2" applyFont="1" applyAlignment="1">
      <alignment horizontal="left"/>
    </xf>
    <xf numFmtId="43" fontId="1" fillId="3" borderId="2" xfId="2" applyFont="1" applyFill="1" applyBorder="1" applyAlignment="1">
      <alignment horizontal="left"/>
    </xf>
    <xf numFmtId="43" fontId="1" fillId="2" borderId="2" xfId="2" applyFont="1" applyFill="1" applyBorder="1" applyAlignment="1">
      <alignment horizontal="left"/>
    </xf>
    <xf numFmtId="43" fontId="3" fillId="2" borderId="2" xfId="2" applyFont="1" applyFill="1" applyBorder="1" applyAlignment="1">
      <alignment horizontal="left"/>
    </xf>
    <xf numFmtId="43" fontId="0" fillId="2" borderId="2" xfId="2" applyFont="1" applyFill="1" applyBorder="1" applyAlignment="1">
      <alignment horizontal="left"/>
    </xf>
    <xf numFmtId="43" fontId="4" fillId="2" borderId="2" xfId="2" applyFont="1" applyFill="1" applyBorder="1" applyAlignment="1">
      <alignment horizontal="left"/>
    </xf>
    <xf numFmtId="43" fontId="5" fillId="2" borderId="2" xfId="2" applyFont="1" applyFill="1" applyBorder="1" applyAlignment="1">
      <alignment horizontal="left"/>
    </xf>
    <xf numFmtId="43" fontId="1" fillId="0" borderId="0" xfId="2" applyFont="1" applyAlignment="1">
      <alignment horizontal="left"/>
    </xf>
    <xf numFmtId="43" fontId="6" fillId="0" borderId="0" xfId="2" applyFont="1" applyAlignment="1">
      <alignment horizontal="left"/>
    </xf>
    <xf numFmtId="44" fontId="0" fillId="2" borderId="1" xfId="1" applyFont="1" applyFill="1" applyBorder="1" applyAlignment="1">
      <alignment horizontal="right"/>
    </xf>
    <xf numFmtId="44" fontId="7" fillId="2" borderId="3" xfId="1" applyFont="1" applyFill="1" applyBorder="1" applyAlignment="1">
      <alignment horizontal="right"/>
    </xf>
    <xf numFmtId="0" fontId="0" fillId="0" borderId="4" xfId="0" applyBorder="1"/>
    <xf numFmtId="44" fontId="0" fillId="0" borderId="4" xfId="1" applyFont="1" applyBorder="1" applyAlignment="1">
      <alignment horizontal="right"/>
    </xf>
    <xf numFmtId="43" fontId="0" fillId="0" borderId="4" xfId="2" applyFont="1" applyBorder="1" applyAlignment="1">
      <alignment horizontal="left"/>
    </xf>
    <xf numFmtId="44" fontId="0" fillId="0" borderId="4" xfId="1" applyFont="1" applyBorder="1"/>
    <xf numFmtId="44" fontId="0" fillId="0" borderId="4" xfId="0" applyNumberFormat="1" applyBorder="1"/>
  </cellXfs>
  <cellStyles count="3">
    <cellStyle name="Денежный" xfId="1" builtinId="4"/>
    <cellStyle name="Обычный" xfId="0" builtinId="0"/>
    <cellStyle name="Финансовый" xfId="2" builtinId="3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A7B9-160E-4018-AD38-0451AACFE386}">
  <dimension ref="A3:E5"/>
  <sheetViews>
    <sheetView workbookViewId="0">
      <selection activeCell="H3" sqref="H3"/>
    </sheetView>
  </sheetViews>
  <sheetFormatPr defaultRowHeight="11.4" x14ac:dyDescent="0.2"/>
  <sheetData>
    <row r="3" spans="1:5" x14ac:dyDescent="0.2">
      <c r="A3" t="s">
        <v>498</v>
      </c>
    </row>
    <row r="4" spans="1:5" x14ac:dyDescent="0.2">
      <c r="B4" t="s">
        <v>499</v>
      </c>
      <c r="C4" t="s">
        <v>500</v>
      </c>
      <c r="D4" t="s">
        <v>501</v>
      </c>
      <c r="E4" t="s">
        <v>502</v>
      </c>
    </row>
    <row r="5" spans="1:5" x14ac:dyDescent="0.2">
      <c r="B5">
        <v>10.4</v>
      </c>
      <c r="C5">
        <v>11.27</v>
      </c>
      <c r="D5">
        <f>B5*C5</f>
        <v>117.208</v>
      </c>
      <c r="E5">
        <f>D5*0.3</f>
        <v>35.162399999999998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26496-9F12-4722-B45F-4F59CA6D02E0}">
  <dimension ref="A2:A4"/>
  <sheetViews>
    <sheetView workbookViewId="0">
      <selection activeCell="A6" sqref="A6"/>
    </sheetView>
  </sheetViews>
  <sheetFormatPr defaultRowHeight="11.4" x14ac:dyDescent="0.2"/>
  <cols>
    <col min="1" max="1" width="16.75" bestFit="1" customWidth="1"/>
  </cols>
  <sheetData>
    <row r="2" spans="1:1" x14ac:dyDescent="0.2">
      <c r="A2" t="s">
        <v>444</v>
      </c>
    </row>
    <row r="4" spans="1:1" x14ac:dyDescent="0.2">
      <c r="A4" t="s">
        <v>497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91"/>
  <sheetViews>
    <sheetView showGridLines="0" tabSelected="1" topLeftCell="A494" workbookViewId="0">
      <selection activeCell="G552" sqref="G552"/>
    </sheetView>
  </sheetViews>
  <sheetFormatPr defaultRowHeight="16.95" customHeight="1" x14ac:dyDescent="0.2"/>
  <cols>
    <col min="1" max="1" width="15.5" customWidth="1"/>
    <col min="2" max="2" width="51" customWidth="1"/>
    <col min="3" max="3" width="12.25" customWidth="1"/>
    <col min="4" max="4" width="14.25" style="30" customWidth="1"/>
    <col min="5" max="5" width="13.625" style="33" customWidth="1"/>
    <col min="6" max="6" width="19.375" style="22" customWidth="1"/>
    <col min="7" max="9" width="16.375" customWidth="1"/>
    <col min="11" max="11" width="14.75" bestFit="1" customWidth="1"/>
  </cols>
  <sheetData>
    <row r="1" spans="1:9" ht="13.5" customHeight="1" x14ac:dyDescent="0.25">
      <c r="A1" s="4" t="s">
        <v>4</v>
      </c>
      <c r="D1" s="30" t="s">
        <v>24</v>
      </c>
      <c r="E1" s="33">
        <f>F56/46</f>
        <v>70723.765217391308</v>
      </c>
    </row>
    <row r="2" spans="1:9" ht="13.5" hidden="1" customHeight="1" x14ac:dyDescent="0.2">
      <c r="A2" s="5" t="s">
        <v>5</v>
      </c>
      <c r="B2" s="5" t="s">
        <v>6</v>
      </c>
      <c r="C2" s="6" t="s">
        <v>7</v>
      </c>
      <c r="D2" s="23" t="s">
        <v>8</v>
      </c>
      <c r="E2" s="34" t="s">
        <v>9</v>
      </c>
      <c r="F2" s="23" t="s">
        <v>10</v>
      </c>
    </row>
    <row r="3" spans="1:9" ht="13.5" hidden="1" customHeight="1" x14ac:dyDescent="0.2">
      <c r="A3" s="7">
        <v>1</v>
      </c>
      <c r="B3" s="7" t="s">
        <v>0</v>
      </c>
      <c r="C3" s="7" t="s">
        <v>11</v>
      </c>
      <c r="D3" s="24">
        <v>1</v>
      </c>
      <c r="E3" s="35">
        <v>678700</v>
      </c>
      <c r="F3" s="24">
        <v>678700</v>
      </c>
    </row>
    <row r="4" spans="1:9" ht="13.5" hidden="1" customHeight="1" x14ac:dyDescent="0.2">
      <c r="A4" s="9" t="s">
        <v>12</v>
      </c>
      <c r="B4" s="10" t="s">
        <v>13</v>
      </c>
      <c r="C4" s="9" t="s">
        <v>14</v>
      </c>
      <c r="D4" s="25">
        <v>4</v>
      </c>
      <c r="E4" s="36">
        <v>6000</v>
      </c>
      <c r="F4" s="25">
        <v>24000</v>
      </c>
      <c r="G4" s="8"/>
      <c r="H4" s="8"/>
      <c r="I4" s="8"/>
    </row>
    <row r="5" spans="1:9" ht="13.5" hidden="1" customHeight="1" x14ac:dyDescent="0.2">
      <c r="A5" s="9" t="s">
        <v>15</v>
      </c>
      <c r="B5" s="10" t="s">
        <v>16</v>
      </c>
      <c r="C5" s="9" t="s">
        <v>17</v>
      </c>
      <c r="D5" s="25">
        <v>136</v>
      </c>
      <c r="E5" s="36">
        <v>600</v>
      </c>
      <c r="F5" s="25">
        <v>81600</v>
      </c>
      <c r="G5" s="8"/>
      <c r="H5" s="8"/>
      <c r="I5" s="8"/>
    </row>
    <row r="6" spans="1:9" ht="13.5" hidden="1" customHeight="1" x14ac:dyDescent="0.2">
      <c r="A6" s="9" t="s">
        <v>18</v>
      </c>
      <c r="B6" s="10" t="s">
        <v>19</v>
      </c>
      <c r="C6" s="9" t="s">
        <v>17</v>
      </c>
      <c r="D6" s="25">
        <v>136</v>
      </c>
      <c r="E6" s="36">
        <v>525</v>
      </c>
      <c r="F6" s="25">
        <v>71400</v>
      </c>
      <c r="G6" s="8"/>
      <c r="H6" s="8"/>
      <c r="I6" s="8"/>
    </row>
    <row r="7" spans="1:9" ht="13.5" hidden="1" customHeight="1" x14ac:dyDescent="0.2">
      <c r="A7" s="9" t="s">
        <v>20</v>
      </c>
      <c r="B7" s="10" t="s">
        <v>21</v>
      </c>
      <c r="C7" s="9" t="s">
        <v>17</v>
      </c>
      <c r="D7" s="25">
        <v>136</v>
      </c>
      <c r="E7" s="36">
        <v>225</v>
      </c>
      <c r="F7" s="25">
        <v>30600</v>
      </c>
      <c r="G7" s="8"/>
      <c r="H7" s="8"/>
      <c r="I7" s="8"/>
    </row>
    <row r="8" spans="1:9" ht="13.5" hidden="1" customHeight="1" x14ac:dyDescent="0.2">
      <c r="A8" s="9" t="s">
        <v>22</v>
      </c>
      <c r="B8" s="10" t="s">
        <v>23</v>
      </c>
      <c r="C8" s="9" t="s">
        <v>24</v>
      </c>
      <c r="D8" s="25">
        <v>42</v>
      </c>
      <c r="E8" s="36">
        <v>10200</v>
      </c>
      <c r="F8" s="25">
        <v>428400</v>
      </c>
      <c r="G8" s="8"/>
      <c r="H8" s="8"/>
      <c r="I8" s="8"/>
    </row>
    <row r="9" spans="1:9" ht="13.5" hidden="1" customHeight="1" x14ac:dyDescent="0.2">
      <c r="A9" s="9" t="s">
        <v>25</v>
      </c>
      <c r="B9" s="10" t="s">
        <v>26</v>
      </c>
      <c r="C9" s="9" t="s">
        <v>17</v>
      </c>
      <c r="D9" s="25">
        <v>14</v>
      </c>
      <c r="E9" s="36">
        <v>800</v>
      </c>
      <c r="F9" s="25">
        <v>11200</v>
      </c>
      <c r="G9" s="8"/>
      <c r="H9" s="8"/>
      <c r="I9" s="8"/>
    </row>
    <row r="10" spans="1:9" ht="13.5" hidden="1" customHeight="1" x14ac:dyDescent="0.2">
      <c r="A10" s="9" t="s">
        <v>27</v>
      </c>
      <c r="B10" s="10" t="s">
        <v>28</v>
      </c>
      <c r="C10" s="9" t="s">
        <v>24</v>
      </c>
      <c r="D10" s="25">
        <v>42</v>
      </c>
      <c r="E10" s="36">
        <v>750</v>
      </c>
      <c r="F10" s="25">
        <v>31500</v>
      </c>
      <c r="G10" s="8"/>
      <c r="H10" s="8"/>
      <c r="I10" s="8"/>
    </row>
    <row r="11" spans="1:9" ht="13.5" hidden="1" customHeight="1" x14ac:dyDescent="0.2">
      <c r="A11" s="7">
        <v>2</v>
      </c>
      <c r="B11" s="7" t="s">
        <v>29</v>
      </c>
      <c r="C11" s="7" t="s">
        <v>11</v>
      </c>
      <c r="D11" s="24">
        <v>1</v>
      </c>
      <c r="E11" s="35">
        <v>1217686</v>
      </c>
      <c r="F11" s="24">
        <v>1217686</v>
      </c>
    </row>
    <row r="12" spans="1:9" ht="13.5" hidden="1" customHeight="1" x14ac:dyDescent="0.2">
      <c r="A12" s="11" t="s">
        <v>30</v>
      </c>
      <c r="B12" s="12" t="s">
        <v>31</v>
      </c>
      <c r="C12" s="11" t="s">
        <v>24</v>
      </c>
      <c r="D12" s="26">
        <v>46</v>
      </c>
      <c r="E12" s="37">
        <v>12740</v>
      </c>
      <c r="F12" s="26">
        <v>586040</v>
      </c>
    </row>
    <row r="13" spans="1:9" ht="13.5" hidden="1" customHeight="1" x14ac:dyDescent="0.2">
      <c r="A13" s="11" t="s">
        <v>32</v>
      </c>
      <c r="B13" s="12" t="s">
        <v>33</v>
      </c>
      <c r="C13" s="11" t="s">
        <v>24</v>
      </c>
      <c r="D13" s="26">
        <v>0.6</v>
      </c>
      <c r="E13" s="37">
        <v>29400</v>
      </c>
      <c r="F13" s="26">
        <v>17640</v>
      </c>
    </row>
    <row r="14" spans="1:9" ht="13.5" hidden="1" customHeight="1" x14ac:dyDescent="0.2">
      <c r="A14" s="11" t="s">
        <v>34</v>
      </c>
      <c r="B14" s="12" t="s">
        <v>35</v>
      </c>
      <c r="C14" s="11" t="s">
        <v>24</v>
      </c>
      <c r="D14" s="26">
        <v>1.3</v>
      </c>
      <c r="E14" s="37">
        <v>29400</v>
      </c>
      <c r="F14" s="26">
        <v>38220</v>
      </c>
    </row>
    <row r="15" spans="1:9" ht="13.5" hidden="1" customHeight="1" x14ac:dyDescent="0.2">
      <c r="A15" s="11" t="s">
        <v>36</v>
      </c>
      <c r="B15" s="12" t="s">
        <v>37</v>
      </c>
      <c r="C15" s="11" t="s">
        <v>24</v>
      </c>
      <c r="D15" s="26">
        <v>0.3</v>
      </c>
      <c r="E15" s="37">
        <v>29400</v>
      </c>
      <c r="F15" s="26">
        <v>8820</v>
      </c>
    </row>
    <row r="16" spans="1:9" ht="13.5" hidden="1" customHeight="1" x14ac:dyDescent="0.2">
      <c r="A16" s="11" t="s">
        <v>38</v>
      </c>
      <c r="B16" s="12" t="s">
        <v>39</v>
      </c>
      <c r="C16" s="11" t="s">
        <v>40</v>
      </c>
      <c r="D16" s="26">
        <v>0.31</v>
      </c>
      <c r="E16" s="37">
        <v>99400</v>
      </c>
      <c r="F16" s="26">
        <v>30814</v>
      </c>
    </row>
    <row r="17" spans="1:9" ht="13.5" hidden="1" customHeight="1" x14ac:dyDescent="0.2">
      <c r="A17" s="11" t="s">
        <v>41</v>
      </c>
      <c r="B17" s="12" t="s">
        <v>42</v>
      </c>
      <c r="C17" s="11" t="s">
        <v>40</v>
      </c>
      <c r="D17" s="26">
        <v>3.1</v>
      </c>
      <c r="E17" s="37">
        <v>99400</v>
      </c>
      <c r="F17" s="26">
        <v>308140</v>
      </c>
    </row>
    <row r="18" spans="1:9" ht="13.5" hidden="1" customHeight="1" x14ac:dyDescent="0.2">
      <c r="A18" s="11" t="s">
        <v>43</v>
      </c>
      <c r="B18" s="12" t="s">
        <v>44</v>
      </c>
      <c r="C18" s="11" t="s">
        <v>40</v>
      </c>
      <c r="D18" s="26">
        <v>0.08</v>
      </c>
      <c r="E18" s="37">
        <v>147000</v>
      </c>
      <c r="F18" s="26">
        <v>11760</v>
      </c>
    </row>
    <row r="19" spans="1:9" ht="13.5" hidden="1" customHeight="1" x14ac:dyDescent="0.2">
      <c r="A19" s="11" t="s">
        <v>45</v>
      </c>
      <c r="B19" s="12" t="s">
        <v>46</v>
      </c>
      <c r="C19" s="11" t="s">
        <v>40</v>
      </c>
      <c r="D19" s="26">
        <v>35</v>
      </c>
      <c r="E19" s="37">
        <v>1820</v>
      </c>
      <c r="F19" s="26">
        <v>63700</v>
      </c>
    </row>
    <row r="20" spans="1:9" ht="13.5" hidden="1" customHeight="1" x14ac:dyDescent="0.2">
      <c r="A20" s="11" t="s">
        <v>47</v>
      </c>
      <c r="B20" s="12" t="s">
        <v>48</v>
      </c>
      <c r="C20" s="11" t="s">
        <v>49</v>
      </c>
      <c r="D20" s="26">
        <v>2</v>
      </c>
      <c r="E20" s="37">
        <v>3920</v>
      </c>
      <c r="F20" s="26">
        <v>7840</v>
      </c>
    </row>
    <row r="21" spans="1:9" ht="13.5" hidden="1" customHeight="1" x14ac:dyDescent="0.2">
      <c r="A21" s="11" t="s">
        <v>50</v>
      </c>
      <c r="B21" s="12" t="s">
        <v>51</v>
      </c>
      <c r="C21" s="11" t="s">
        <v>52</v>
      </c>
      <c r="D21" s="26">
        <v>2</v>
      </c>
      <c r="E21" s="37">
        <v>3406</v>
      </c>
      <c r="F21" s="26">
        <v>6812</v>
      </c>
    </row>
    <row r="22" spans="1:9" ht="13.5" hidden="1" customHeight="1" x14ac:dyDescent="0.2">
      <c r="A22" s="11" t="s">
        <v>53</v>
      </c>
      <c r="B22" s="12" t="s">
        <v>54</v>
      </c>
      <c r="C22" s="11" t="s">
        <v>52</v>
      </c>
      <c r="D22" s="26">
        <v>7</v>
      </c>
      <c r="E22" s="37">
        <v>7700</v>
      </c>
      <c r="F22" s="26">
        <v>53900</v>
      </c>
    </row>
    <row r="23" spans="1:9" ht="13.5" hidden="1" customHeight="1" x14ac:dyDescent="0.2">
      <c r="A23" s="11" t="s">
        <v>55</v>
      </c>
      <c r="B23" s="12" t="s">
        <v>56</v>
      </c>
      <c r="C23" s="11" t="s">
        <v>57</v>
      </c>
      <c r="D23" s="26">
        <v>1</v>
      </c>
      <c r="E23" s="37">
        <v>36000</v>
      </c>
      <c r="F23" s="26">
        <v>36000</v>
      </c>
    </row>
    <row r="24" spans="1:9" ht="13.5" hidden="1" customHeight="1" x14ac:dyDescent="0.2">
      <c r="A24" s="11" t="s">
        <v>58</v>
      </c>
      <c r="B24" s="12" t="s">
        <v>59</v>
      </c>
      <c r="C24" s="11" t="s">
        <v>57</v>
      </c>
      <c r="D24" s="26">
        <v>1</v>
      </c>
      <c r="E24" s="37">
        <v>48000</v>
      </c>
      <c r="F24" s="26">
        <v>48000</v>
      </c>
    </row>
    <row r="25" spans="1:9" ht="13.5" hidden="1" customHeight="1" x14ac:dyDescent="0.2">
      <c r="A25" s="7">
        <v>3</v>
      </c>
      <c r="B25" s="7" t="s">
        <v>2</v>
      </c>
      <c r="C25" s="7" t="s">
        <v>11</v>
      </c>
      <c r="D25" s="24">
        <v>1</v>
      </c>
      <c r="E25" s="35">
        <v>110160</v>
      </c>
      <c r="F25" s="24">
        <v>110160</v>
      </c>
    </row>
    <row r="26" spans="1:9" ht="13.5" hidden="1" customHeight="1" x14ac:dyDescent="0.2">
      <c r="A26" s="14" t="s">
        <v>60</v>
      </c>
      <c r="B26" s="15" t="s">
        <v>61</v>
      </c>
      <c r="C26" s="14" t="s">
        <v>62</v>
      </c>
      <c r="D26" s="27">
        <v>2</v>
      </c>
      <c r="E26" s="38">
        <v>33600</v>
      </c>
      <c r="F26" s="27">
        <v>67200</v>
      </c>
      <c r="G26" s="13"/>
      <c r="H26" s="13"/>
      <c r="I26" s="13"/>
    </row>
    <row r="27" spans="1:9" ht="13.5" hidden="1" customHeight="1" x14ac:dyDescent="0.2">
      <c r="A27" s="14" t="s">
        <v>63</v>
      </c>
      <c r="B27" s="15" t="s">
        <v>64</v>
      </c>
      <c r="C27" s="14" t="s">
        <v>62</v>
      </c>
      <c r="D27" s="27">
        <v>1</v>
      </c>
      <c r="E27" s="38">
        <v>38400</v>
      </c>
      <c r="F27" s="27">
        <v>38400</v>
      </c>
      <c r="G27" s="13"/>
      <c r="H27" s="13"/>
      <c r="I27" s="13"/>
    </row>
    <row r="28" spans="1:9" ht="13.5" hidden="1" customHeight="1" x14ac:dyDescent="0.2">
      <c r="A28" s="14" t="s">
        <v>65</v>
      </c>
      <c r="B28" s="15" t="s">
        <v>66</v>
      </c>
      <c r="C28" s="14" t="s">
        <v>62</v>
      </c>
      <c r="D28" s="27">
        <v>1</v>
      </c>
      <c r="E28" s="38">
        <v>2160</v>
      </c>
      <c r="F28" s="27">
        <v>2160</v>
      </c>
      <c r="G28" s="13"/>
      <c r="H28" s="13"/>
      <c r="I28" s="13"/>
    </row>
    <row r="29" spans="1:9" ht="13.5" hidden="1" customHeight="1" x14ac:dyDescent="0.2">
      <c r="A29" s="17" t="s">
        <v>67</v>
      </c>
      <c r="B29" s="18" t="s">
        <v>68</v>
      </c>
      <c r="C29" s="17" t="s">
        <v>69</v>
      </c>
      <c r="D29" s="28">
        <v>1</v>
      </c>
      <c r="E29" s="39">
        <v>2400</v>
      </c>
      <c r="F29" s="28">
        <v>2400</v>
      </c>
      <c r="G29" s="16"/>
      <c r="H29" s="16"/>
      <c r="I29" s="16"/>
    </row>
    <row r="30" spans="1:9" ht="13.5" hidden="1" customHeight="1" x14ac:dyDescent="0.2">
      <c r="A30" s="9">
        <v>4</v>
      </c>
      <c r="B30" s="9" t="s">
        <v>70</v>
      </c>
      <c r="C30" s="9" t="s">
        <v>24</v>
      </c>
      <c r="D30" s="25">
        <v>4.4000000000000004</v>
      </c>
      <c r="E30" s="36">
        <v>6300</v>
      </c>
      <c r="F30" s="25">
        <v>27720</v>
      </c>
      <c r="G30" s="8"/>
      <c r="H30" s="8"/>
      <c r="I30" s="8"/>
    </row>
    <row r="31" spans="1:9" ht="13.5" hidden="1" customHeight="1" x14ac:dyDescent="0.2">
      <c r="A31" s="9">
        <v>5</v>
      </c>
      <c r="B31" s="9" t="s">
        <v>71</v>
      </c>
      <c r="C31" s="9" t="s">
        <v>24</v>
      </c>
      <c r="D31" s="25">
        <v>29.8</v>
      </c>
      <c r="E31" s="36">
        <v>7700</v>
      </c>
      <c r="F31" s="25">
        <v>229460</v>
      </c>
      <c r="G31" s="8"/>
      <c r="H31" s="8"/>
      <c r="I31" s="8"/>
    </row>
    <row r="32" spans="1:9" ht="13.5" hidden="1" customHeight="1" x14ac:dyDescent="0.2">
      <c r="A32" s="9">
        <v>6</v>
      </c>
      <c r="B32" s="9" t="s">
        <v>72</v>
      </c>
      <c r="C32" s="9" t="s">
        <v>17</v>
      </c>
      <c r="D32" s="25">
        <v>119</v>
      </c>
      <c r="E32" s="36">
        <v>168</v>
      </c>
      <c r="F32" s="25">
        <v>19992</v>
      </c>
      <c r="G32" s="8"/>
      <c r="H32" s="8"/>
      <c r="I32" s="8"/>
    </row>
    <row r="33" spans="1:9" ht="13.5" hidden="1" customHeight="1" x14ac:dyDescent="0.2">
      <c r="A33" s="9">
        <v>7</v>
      </c>
      <c r="B33" s="9" t="s">
        <v>73</v>
      </c>
      <c r="C33" s="9" t="s">
        <v>74</v>
      </c>
      <c r="D33" s="25">
        <v>3</v>
      </c>
      <c r="E33" s="36">
        <v>3500</v>
      </c>
      <c r="F33" s="25">
        <v>10500</v>
      </c>
      <c r="G33" s="8"/>
      <c r="H33" s="8"/>
      <c r="I33" s="8"/>
    </row>
    <row r="34" spans="1:9" ht="13.5" hidden="1" customHeight="1" x14ac:dyDescent="0.2">
      <c r="A34" s="9">
        <v>8</v>
      </c>
      <c r="B34" s="9" t="s">
        <v>75</v>
      </c>
      <c r="C34" s="9" t="s">
        <v>76</v>
      </c>
      <c r="D34" s="25">
        <v>4</v>
      </c>
      <c r="E34" s="36">
        <v>700</v>
      </c>
      <c r="F34" s="25">
        <v>2800</v>
      </c>
      <c r="G34" s="8"/>
      <c r="H34" s="8"/>
      <c r="I34" s="8"/>
    </row>
    <row r="35" spans="1:9" ht="13.5" hidden="1" customHeight="1" x14ac:dyDescent="0.2">
      <c r="A35" s="11">
        <v>9</v>
      </c>
      <c r="B35" s="11" t="s">
        <v>77</v>
      </c>
      <c r="C35" s="11" t="s">
        <v>76</v>
      </c>
      <c r="D35" s="26">
        <v>2200</v>
      </c>
      <c r="E35" s="37">
        <v>103.6</v>
      </c>
      <c r="F35" s="26">
        <v>227920</v>
      </c>
    </row>
    <row r="36" spans="1:9" ht="13.5" hidden="1" customHeight="1" x14ac:dyDescent="0.2">
      <c r="A36" s="11">
        <v>10</v>
      </c>
      <c r="B36" s="11" t="s">
        <v>78</v>
      </c>
      <c r="C36" s="11" t="s">
        <v>76</v>
      </c>
      <c r="D36" s="26">
        <v>2368</v>
      </c>
      <c r="E36" s="37">
        <v>36.4</v>
      </c>
      <c r="F36" s="26">
        <v>86195.199999999997</v>
      </c>
    </row>
    <row r="37" spans="1:9" ht="13.5" hidden="1" customHeight="1" x14ac:dyDescent="0.2">
      <c r="A37" s="11">
        <v>11</v>
      </c>
      <c r="B37" s="11" t="s">
        <v>79</v>
      </c>
      <c r="C37" s="11" t="s">
        <v>80</v>
      </c>
      <c r="D37" s="26">
        <v>100</v>
      </c>
      <c r="E37" s="37">
        <v>770</v>
      </c>
      <c r="F37" s="26">
        <v>77000</v>
      </c>
    </row>
    <row r="38" spans="1:9" ht="13.5" hidden="1" customHeight="1" x14ac:dyDescent="0.2">
      <c r="A38" s="11">
        <v>12</v>
      </c>
      <c r="B38" s="11" t="s">
        <v>81</v>
      </c>
      <c r="C38" s="11" t="s">
        <v>76</v>
      </c>
      <c r="D38" s="26">
        <v>4</v>
      </c>
      <c r="E38" s="37">
        <v>1120</v>
      </c>
      <c r="F38" s="26">
        <v>4480</v>
      </c>
    </row>
    <row r="39" spans="1:9" ht="13.5" hidden="1" customHeight="1" x14ac:dyDescent="0.2">
      <c r="A39" s="11">
        <v>13</v>
      </c>
      <c r="B39" s="11" t="s">
        <v>82</v>
      </c>
      <c r="C39" s="11" t="s">
        <v>40</v>
      </c>
      <c r="D39" s="26">
        <v>0.3</v>
      </c>
      <c r="E39" s="37">
        <v>99400</v>
      </c>
      <c r="F39" s="26">
        <v>29820</v>
      </c>
    </row>
    <row r="40" spans="1:9" ht="13.5" hidden="1" customHeight="1" x14ac:dyDescent="0.2">
      <c r="A40" s="11">
        <v>14</v>
      </c>
      <c r="B40" s="11" t="s">
        <v>83</v>
      </c>
      <c r="C40" s="11" t="s">
        <v>40</v>
      </c>
      <c r="D40" s="26">
        <v>0.3</v>
      </c>
      <c r="E40" s="37">
        <v>99400</v>
      </c>
      <c r="F40" s="26">
        <v>29820</v>
      </c>
    </row>
    <row r="41" spans="1:9" ht="13.5" hidden="1" customHeight="1" x14ac:dyDescent="0.2">
      <c r="A41" s="11">
        <v>15</v>
      </c>
      <c r="B41" s="11" t="s">
        <v>46</v>
      </c>
      <c r="C41" s="11" t="s">
        <v>40</v>
      </c>
      <c r="D41" s="26">
        <v>35</v>
      </c>
      <c r="E41" s="37">
        <v>1560</v>
      </c>
      <c r="F41" s="26">
        <v>54600</v>
      </c>
    </row>
    <row r="42" spans="1:9" ht="13.5" hidden="1" customHeight="1" x14ac:dyDescent="0.2">
      <c r="A42" s="11">
        <v>16</v>
      </c>
      <c r="B42" s="11" t="s">
        <v>84</v>
      </c>
      <c r="C42" s="11" t="s">
        <v>85</v>
      </c>
      <c r="D42" s="26">
        <v>50</v>
      </c>
      <c r="E42" s="37">
        <v>3010</v>
      </c>
      <c r="F42" s="26">
        <v>150500</v>
      </c>
    </row>
    <row r="43" spans="1:9" ht="13.5" hidden="1" customHeight="1" x14ac:dyDescent="0.2">
      <c r="A43" s="11">
        <v>17</v>
      </c>
      <c r="B43" s="11" t="s">
        <v>86</v>
      </c>
      <c r="C43" s="11" t="s">
        <v>76</v>
      </c>
      <c r="D43" s="26">
        <v>140</v>
      </c>
      <c r="E43" s="37">
        <v>325</v>
      </c>
      <c r="F43" s="26">
        <v>45500</v>
      </c>
    </row>
    <row r="44" spans="1:9" ht="13.5" hidden="1" customHeight="1" x14ac:dyDescent="0.2">
      <c r="A44" s="11">
        <v>18</v>
      </c>
      <c r="B44" s="11" t="s">
        <v>87</v>
      </c>
      <c r="C44" s="11" t="s">
        <v>76</v>
      </c>
      <c r="D44" s="26">
        <v>6</v>
      </c>
      <c r="E44" s="37">
        <v>3640</v>
      </c>
      <c r="F44" s="26">
        <v>21840</v>
      </c>
    </row>
    <row r="45" spans="1:9" ht="13.5" hidden="1" customHeight="1" x14ac:dyDescent="0.2">
      <c r="A45" s="11">
        <v>19</v>
      </c>
      <c r="B45" s="11" t="s">
        <v>59</v>
      </c>
      <c r="C45" s="11" t="s">
        <v>57</v>
      </c>
      <c r="D45" s="26">
        <v>1</v>
      </c>
      <c r="E45" s="37">
        <v>39000</v>
      </c>
      <c r="F45" s="26">
        <v>39000</v>
      </c>
    </row>
    <row r="46" spans="1:9" ht="13.5" hidden="1" customHeight="1" x14ac:dyDescent="0.2">
      <c r="A46" s="7">
        <v>20</v>
      </c>
      <c r="B46" s="7" t="s">
        <v>2</v>
      </c>
      <c r="C46" s="7" t="s">
        <v>11</v>
      </c>
      <c r="D46" s="24">
        <v>1</v>
      </c>
      <c r="E46" s="35">
        <v>189600</v>
      </c>
      <c r="F46" s="24">
        <v>189600</v>
      </c>
    </row>
    <row r="47" spans="1:9" ht="13.5" hidden="1" customHeight="1" x14ac:dyDescent="0.2">
      <c r="A47" s="17" t="s">
        <v>88</v>
      </c>
      <c r="B47" s="18" t="s">
        <v>89</v>
      </c>
      <c r="C47" s="17" t="s">
        <v>69</v>
      </c>
      <c r="D47" s="28">
        <v>2</v>
      </c>
      <c r="E47" s="39">
        <v>30600</v>
      </c>
      <c r="F47" s="28">
        <v>61200</v>
      </c>
      <c r="G47" s="16"/>
      <c r="H47" s="16"/>
      <c r="I47" s="16"/>
    </row>
    <row r="48" spans="1:9" ht="13.5" hidden="1" customHeight="1" x14ac:dyDescent="0.2">
      <c r="A48" s="17" t="s">
        <v>90</v>
      </c>
      <c r="B48" s="18" t="s">
        <v>91</v>
      </c>
      <c r="C48" s="17" t="s">
        <v>69</v>
      </c>
      <c r="D48" s="28">
        <v>1</v>
      </c>
      <c r="E48" s="39">
        <v>48000</v>
      </c>
      <c r="F48" s="28">
        <v>48000</v>
      </c>
      <c r="G48" s="16"/>
      <c r="H48" s="16"/>
      <c r="I48" s="16"/>
    </row>
    <row r="49" spans="1:9" ht="13.5" hidden="1" customHeight="1" x14ac:dyDescent="0.2">
      <c r="A49" s="17" t="s">
        <v>92</v>
      </c>
      <c r="B49" s="18" t="s">
        <v>93</v>
      </c>
      <c r="C49" s="17" t="s">
        <v>69</v>
      </c>
      <c r="D49" s="28">
        <v>1</v>
      </c>
      <c r="E49" s="39">
        <v>36000</v>
      </c>
      <c r="F49" s="28">
        <v>36000</v>
      </c>
      <c r="G49" s="16"/>
      <c r="H49" s="16"/>
      <c r="I49" s="16"/>
    </row>
    <row r="50" spans="1:9" ht="13.5" hidden="1" customHeight="1" x14ac:dyDescent="0.2">
      <c r="A50" s="17" t="s">
        <v>94</v>
      </c>
      <c r="B50" s="18" t="s">
        <v>95</v>
      </c>
      <c r="C50" s="17" t="s">
        <v>69</v>
      </c>
      <c r="D50" s="28">
        <v>1</v>
      </c>
      <c r="E50" s="39">
        <v>8400</v>
      </c>
      <c r="F50" s="28">
        <v>8400</v>
      </c>
      <c r="G50" s="16"/>
      <c r="H50" s="16"/>
      <c r="I50" s="16"/>
    </row>
    <row r="51" spans="1:9" ht="13.5" hidden="1" customHeight="1" x14ac:dyDescent="0.2">
      <c r="A51" s="14" t="s">
        <v>96</v>
      </c>
      <c r="B51" s="15" t="s">
        <v>97</v>
      </c>
      <c r="C51" s="14" t="s">
        <v>62</v>
      </c>
      <c r="D51" s="27">
        <v>1</v>
      </c>
      <c r="E51" s="38">
        <v>36000</v>
      </c>
      <c r="F51" s="27">
        <v>36000</v>
      </c>
      <c r="G51" s="13"/>
      <c r="H51" s="13"/>
      <c r="I51" s="13"/>
    </row>
    <row r="52" spans="1:9" ht="16.95" hidden="1" customHeight="1" x14ac:dyDescent="0.2"/>
    <row r="53" spans="1:9" ht="13.5" hidden="1" customHeight="1" x14ac:dyDescent="0.2">
      <c r="A53" s="2"/>
      <c r="B53" s="2"/>
      <c r="C53" s="19" t="s">
        <v>98</v>
      </c>
      <c r="D53" s="29"/>
      <c r="E53" s="40"/>
      <c r="F53" s="29">
        <v>3253293.2</v>
      </c>
    </row>
    <row r="54" spans="1:9" ht="13.5" hidden="1" customHeight="1" x14ac:dyDescent="0.2">
      <c r="C54" s="3" t="s">
        <v>99</v>
      </c>
      <c r="D54" s="30" t="s">
        <v>100</v>
      </c>
      <c r="F54" s="30">
        <v>969172</v>
      </c>
    </row>
    <row r="55" spans="1:9" ht="13.5" hidden="1" customHeight="1" x14ac:dyDescent="0.2">
      <c r="D55" s="30" t="s">
        <v>101</v>
      </c>
      <c r="F55" s="30">
        <v>2284121.2000000002</v>
      </c>
    </row>
    <row r="56" spans="1:9" ht="11.4" hidden="1" x14ac:dyDescent="0.2">
      <c r="C56" s="19" t="s">
        <v>102</v>
      </c>
      <c r="D56" s="29"/>
      <c r="E56" s="40"/>
      <c r="F56" s="29">
        <v>3253293.2</v>
      </c>
    </row>
    <row r="57" spans="1:9" ht="13.5" customHeight="1" x14ac:dyDescent="0.25">
      <c r="A57" s="4" t="s">
        <v>103</v>
      </c>
      <c r="D57" s="30" t="s">
        <v>24</v>
      </c>
      <c r="E57" s="33">
        <f>F89/43</f>
        <v>35861.405930232562</v>
      </c>
    </row>
    <row r="58" spans="1:9" ht="13.5" hidden="1" customHeight="1" x14ac:dyDescent="0.2">
      <c r="A58" s="5" t="s">
        <v>5</v>
      </c>
      <c r="B58" s="5" t="s">
        <v>6</v>
      </c>
      <c r="C58" s="6" t="s">
        <v>7</v>
      </c>
      <c r="D58" s="23" t="s">
        <v>8</v>
      </c>
      <c r="E58" s="34" t="s">
        <v>9</v>
      </c>
      <c r="F58" s="23" t="s">
        <v>10</v>
      </c>
    </row>
    <row r="59" spans="1:9" ht="13.5" hidden="1" customHeight="1" x14ac:dyDescent="0.2">
      <c r="A59" s="7">
        <v>1</v>
      </c>
      <c r="B59" s="7" t="s">
        <v>104</v>
      </c>
      <c r="C59" s="7" t="s">
        <v>74</v>
      </c>
      <c r="D59" s="24">
        <v>48</v>
      </c>
      <c r="E59" s="35">
        <v>32125.842812499999</v>
      </c>
      <c r="F59" s="24">
        <v>1542040.4550000001</v>
      </c>
    </row>
    <row r="60" spans="1:9" ht="13.5" hidden="1" customHeight="1" x14ac:dyDescent="0.2">
      <c r="A60" s="11" t="s">
        <v>12</v>
      </c>
      <c r="B60" s="12" t="s">
        <v>105</v>
      </c>
      <c r="C60" s="11" t="s">
        <v>52</v>
      </c>
      <c r="D60" s="26">
        <v>1</v>
      </c>
      <c r="E60" s="37">
        <v>7980</v>
      </c>
      <c r="F60" s="26">
        <v>7980</v>
      </c>
    </row>
    <row r="61" spans="1:9" ht="13.5" hidden="1" customHeight="1" x14ac:dyDescent="0.2">
      <c r="A61" s="11" t="s">
        <v>15</v>
      </c>
      <c r="B61" s="12" t="s">
        <v>106</v>
      </c>
      <c r="C61" s="11" t="s">
        <v>24</v>
      </c>
      <c r="D61" s="26">
        <v>4</v>
      </c>
      <c r="E61" s="37">
        <v>18900</v>
      </c>
      <c r="F61" s="26">
        <v>75600</v>
      </c>
    </row>
    <row r="62" spans="1:9" ht="13.5" hidden="1" customHeight="1" x14ac:dyDescent="0.2">
      <c r="A62" s="11" t="s">
        <v>18</v>
      </c>
      <c r="B62" s="12" t="s">
        <v>107</v>
      </c>
      <c r="C62" s="11" t="s">
        <v>24</v>
      </c>
      <c r="D62" s="26">
        <v>1</v>
      </c>
      <c r="E62" s="37">
        <v>18900</v>
      </c>
      <c r="F62" s="26">
        <v>18900</v>
      </c>
    </row>
    <row r="63" spans="1:9" ht="13.5" hidden="1" customHeight="1" x14ac:dyDescent="0.2">
      <c r="A63" s="11" t="s">
        <v>20</v>
      </c>
      <c r="B63" s="12" t="s">
        <v>108</v>
      </c>
      <c r="C63" s="11" t="s">
        <v>109</v>
      </c>
      <c r="D63" s="26">
        <v>500</v>
      </c>
      <c r="E63" s="37">
        <v>71.400000000000006</v>
      </c>
      <c r="F63" s="26">
        <v>35700</v>
      </c>
    </row>
    <row r="64" spans="1:9" ht="13.5" hidden="1" customHeight="1" x14ac:dyDescent="0.2">
      <c r="A64" s="11" t="s">
        <v>22</v>
      </c>
      <c r="B64" s="12" t="s">
        <v>110</v>
      </c>
      <c r="C64" s="11" t="s">
        <v>109</v>
      </c>
      <c r="D64" s="26">
        <v>250</v>
      </c>
      <c r="E64" s="37">
        <v>71.400000000000006</v>
      </c>
      <c r="F64" s="26">
        <v>17850</v>
      </c>
    </row>
    <row r="65" spans="1:9" ht="13.5" hidden="1" customHeight="1" x14ac:dyDescent="0.2">
      <c r="A65" s="11" t="s">
        <v>25</v>
      </c>
      <c r="B65" s="12" t="s">
        <v>111</v>
      </c>
      <c r="C65" s="11" t="s">
        <v>109</v>
      </c>
      <c r="D65" s="26">
        <v>10</v>
      </c>
      <c r="E65" s="37">
        <v>136.5</v>
      </c>
      <c r="F65" s="26">
        <v>1365</v>
      </c>
    </row>
    <row r="66" spans="1:9" ht="13.5" hidden="1" customHeight="1" x14ac:dyDescent="0.2">
      <c r="A66" s="11" t="s">
        <v>27</v>
      </c>
      <c r="B66" s="12" t="s">
        <v>112</v>
      </c>
      <c r="C66" s="11" t="s">
        <v>76</v>
      </c>
      <c r="D66" s="26">
        <v>500</v>
      </c>
      <c r="E66" s="37">
        <v>5.25</v>
      </c>
      <c r="F66" s="26">
        <v>2625</v>
      </c>
    </row>
    <row r="67" spans="1:9" ht="13.5" hidden="1" customHeight="1" x14ac:dyDescent="0.2">
      <c r="A67" s="11" t="s">
        <v>113</v>
      </c>
      <c r="B67" s="12" t="s">
        <v>114</v>
      </c>
      <c r="C67" s="11" t="s">
        <v>24</v>
      </c>
      <c r="D67" s="26">
        <v>43</v>
      </c>
      <c r="E67" s="37">
        <v>8800</v>
      </c>
      <c r="F67" s="26">
        <v>378400</v>
      </c>
    </row>
    <row r="68" spans="1:9" ht="13.5" hidden="1" customHeight="1" x14ac:dyDescent="0.2">
      <c r="A68" s="11" t="s">
        <v>115</v>
      </c>
      <c r="B68" s="12" t="s">
        <v>116</v>
      </c>
      <c r="C68" s="11" t="s">
        <v>74</v>
      </c>
      <c r="D68" s="26">
        <v>44</v>
      </c>
      <c r="E68" s="37">
        <v>472.5</v>
      </c>
      <c r="F68" s="26">
        <v>20790</v>
      </c>
    </row>
    <row r="69" spans="1:9" ht="13.5" hidden="1" customHeight="1" x14ac:dyDescent="0.2">
      <c r="A69" s="11" t="s">
        <v>117</v>
      </c>
      <c r="B69" s="12" t="s">
        <v>118</v>
      </c>
      <c r="C69" s="11" t="s">
        <v>109</v>
      </c>
      <c r="D69" s="26">
        <v>60</v>
      </c>
      <c r="E69" s="37">
        <v>294</v>
      </c>
      <c r="F69" s="26">
        <v>17640</v>
      </c>
    </row>
    <row r="70" spans="1:9" ht="13.5" hidden="1" customHeight="1" x14ac:dyDescent="0.2">
      <c r="A70" s="11" t="s">
        <v>119</v>
      </c>
      <c r="B70" s="12" t="s">
        <v>120</v>
      </c>
      <c r="C70" s="11" t="s">
        <v>17</v>
      </c>
      <c r="D70" s="26">
        <v>90</v>
      </c>
      <c r="E70" s="37">
        <v>189</v>
      </c>
      <c r="F70" s="26">
        <v>17010</v>
      </c>
    </row>
    <row r="71" spans="1:9" ht="13.5" hidden="1" customHeight="1" x14ac:dyDescent="0.2">
      <c r="A71" s="11" t="s">
        <v>121</v>
      </c>
      <c r="B71" s="12" t="s">
        <v>122</v>
      </c>
      <c r="C71" s="11" t="s">
        <v>24</v>
      </c>
      <c r="D71" s="26">
        <v>3.5</v>
      </c>
      <c r="E71" s="37">
        <v>12285</v>
      </c>
      <c r="F71" s="26">
        <v>42997.5</v>
      </c>
    </row>
    <row r="72" spans="1:9" ht="13.5" hidden="1" customHeight="1" x14ac:dyDescent="0.2">
      <c r="A72" s="11" t="s">
        <v>123</v>
      </c>
      <c r="B72" s="12" t="s">
        <v>124</v>
      </c>
      <c r="C72" s="11" t="s">
        <v>125</v>
      </c>
      <c r="D72" s="26">
        <v>5</v>
      </c>
      <c r="E72" s="37">
        <v>840</v>
      </c>
      <c r="F72" s="26">
        <v>4200</v>
      </c>
    </row>
    <row r="73" spans="1:9" ht="13.5" hidden="1" customHeight="1" x14ac:dyDescent="0.2">
      <c r="A73" s="11" t="s">
        <v>126</v>
      </c>
      <c r="B73" s="12" t="s">
        <v>127</v>
      </c>
      <c r="C73" s="11" t="s">
        <v>85</v>
      </c>
      <c r="D73" s="26">
        <v>2</v>
      </c>
      <c r="E73" s="37">
        <v>4261.4775</v>
      </c>
      <c r="F73" s="26">
        <v>8522.9549999999999</v>
      </c>
    </row>
    <row r="74" spans="1:9" ht="13.5" hidden="1" customHeight="1" x14ac:dyDescent="0.2">
      <c r="A74" s="17" t="s">
        <v>128</v>
      </c>
      <c r="B74" s="18" t="s">
        <v>129</v>
      </c>
      <c r="C74" s="17" t="s">
        <v>69</v>
      </c>
      <c r="D74" s="28">
        <v>1</v>
      </c>
      <c r="E74" s="39">
        <v>23100</v>
      </c>
      <c r="F74" s="28">
        <v>23100</v>
      </c>
      <c r="G74" s="16"/>
      <c r="H74" s="16"/>
      <c r="I74" s="16"/>
    </row>
    <row r="75" spans="1:9" ht="13.5" hidden="1" customHeight="1" x14ac:dyDescent="0.2">
      <c r="A75" s="17" t="s">
        <v>130</v>
      </c>
      <c r="B75" s="18" t="s">
        <v>131</v>
      </c>
      <c r="C75" s="17" t="s">
        <v>69</v>
      </c>
      <c r="D75" s="28">
        <v>1</v>
      </c>
      <c r="E75" s="39">
        <v>12600</v>
      </c>
      <c r="F75" s="28">
        <v>12600</v>
      </c>
      <c r="G75" s="16"/>
      <c r="H75" s="16"/>
      <c r="I75" s="16"/>
    </row>
    <row r="76" spans="1:9" ht="13.5" hidden="1" customHeight="1" x14ac:dyDescent="0.2">
      <c r="A76" s="14" t="s">
        <v>132</v>
      </c>
      <c r="B76" s="15" t="s">
        <v>133</v>
      </c>
      <c r="C76" s="14" t="s">
        <v>62</v>
      </c>
      <c r="D76" s="27">
        <v>1</v>
      </c>
      <c r="E76" s="38">
        <v>37800</v>
      </c>
      <c r="F76" s="27">
        <v>37800</v>
      </c>
      <c r="G76" s="13"/>
      <c r="H76" s="13"/>
      <c r="I76" s="13"/>
    </row>
    <row r="77" spans="1:9" ht="13.5" hidden="1" customHeight="1" x14ac:dyDescent="0.2">
      <c r="A77" s="14" t="s">
        <v>134</v>
      </c>
      <c r="B77" s="15" t="s">
        <v>135</v>
      </c>
      <c r="C77" s="14" t="s">
        <v>62</v>
      </c>
      <c r="D77" s="27">
        <v>1</v>
      </c>
      <c r="E77" s="38">
        <v>2100</v>
      </c>
      <c r="F77" s="27">
        <v>2100</v>
      </c>
      <c r="G77" s="13"/>
      <c r="H77" s="13"/>
      <c r="I77" s="13"/>
    </row>
    <row r="78" spans="1:9" ht="13.5" hidden="1" customHeight="1" x14ac:dyDescent="0.2">
      <c r="A78" s="9" t="s">
        <v>136</v>
      </c>
      <c r="B78" s="10" t="s">
        <v>137</v>
      </c>
      <c r="C78" s="9" t="s">
        <v>76</v>
      </c>
      <c r="D78" s="25">
        <v>1</v>
      </c>
      <c r="E78" s="36">
        <v>12600</v>
      </c>
      <c r="F78" s="25">
        <v>12600</v>
      </c>
      <c r="G78" s="8"/>
      <c r="H78" s="8"/>
      <c r="I78" s="8"/>
    </row>
    <row r="79" spans="1:9" ht="13.5" hidden="1" customHeight="1" x14ac:dyDescent="0.2">
      <c r="A79" s="9" t="s">
        <v>138</v>
      </c>
      <c r="B79" s="10" t="s">
        <v>139</v>
      </c>
      <c r="C79" s="9" t="s">
        <v>74</v>
      </c>
      <c r="D79" s="25">
        <v>44</v>
      </c>
      <c r="E79" s="36">
        <v>800</v>
      </c>
      <c r="F79" s="25">
        <v>35200</v>
      </c>
      <c r="G79" s="8"/>
      <c r="H79" s="8"/>
      <c r="I79" s="8"/>
    </row>
    <row r="80" spans="1:9" ht="13.5" hidden="1" customHeight="1" x14ac:dyDescent="0.2">
      <c r="A80" s="9" t="s">
        <v>140</v>
      </c>
      <c r="B80" s="10" t="s">
        <v>141</v>
      </c>
      <c r="C80" s="9" t="s">
        <v>74</v>
      </c>
      <c r="D80" s="25">
        <v>44</v>
      </c>
      <c r="E80" s="36">
        <v>1500</v>
      </c>
      <c r="F80" s="25">
        <v>66000</v>
      </c>
      <c r="G80" s="8"/>
      <c r="H80" s="8"/>
      <c r="I80" s="8"/>
    </row>
    <row r="81" spans="1:9" ht="13.5" hidden="1" customHeight="1" x14ac:dyDescent="0.2">
      <c r="A81" s="9" t="s">
        <v>142</v>
      </c>
      <c r="B81" s="10" t="s">
        <v>143</v>
      </c>
      <c r="C81" s="9" t="s">
        <v>24</v>
      </c>
      <c r="D81" s="25">
        <v>41</v>
      </c>
      <c r="E81" s="36">
        <v>15860</v>
      </c>
      <c r="F81" s="25">
        <v>650260</v>
      </c>
      <c r="G81" s="8"/>
      <c r="H81" s="8"/>
      <c r="I81" s="8"/>
    </row>
    <row r="82" spans="1:9" ht="13.5" hidden="1" customHeight="1" x14ac:dyDescent="0.2">
      <c r="A82" s="9" t="s">
        <v>144</v>
      </c>
      <c r="B82" s="10" t="s">
        <v>145</v>
      </c>
      <c r="C82" s="9" t="s">
        <v>17</v>
      </c>
      <c r="D82" s="25">
        <v>66</v>
      </c>
      <c r="E82" s="36">
        <v>200</v>
      </c>
      <c r="F82" s="25">
        <v>13200</v>
      </c>
      <c r="G82" s="8"/>
      <c r="H82" s="8"/>
      <c r="I82" s="8"/>
    </row>
    <row r="83" spans="1:9" ht="13.5" hidden="1" customHeight="1" x14ac:dyDescent="0.2">
      <c r="A83" s="9" t="s">
        <v>146</v>
      </c>
      <c r="B83" s="10" t="s">
        <v>147</v>
      </c>
      <c r="C83" s="9" t="s">
        <v>17</v>
      </c>
      <c r="D83" s="25">
        <v>66</v>
      </c>
      <c r="E83" s="36">
        <v>400</v>
      </c>
      <c r="F83" s="25">
        <v>26400</v>
      </c>
      <c r="G83" s="8"/>
      <c r="H83" s="8"/>
      <c r="I83" s="8"/>
    </row>
    <row r="84" spans="1:9" ht="13.5" hidden="1" customHeight="1" x14ac:dyDescent="0.2">
      <c r="A84" s="9" t="s">
        <v>148</v>
      </c>
      <c r="B84" s="10" t="s">
        <v>149</v>
      </c>
      <c r="C84" s="9" t="s">
        <v>17</v>
      </c>
      <c r="D84" s="25">
        <v>66</v>
      </c>
      <c r="E84" s="36">
        <v>200</v>
      </c>
      <c r="F84" s="25">
        <v>13200</v>
      </c>
      <c r="G84" s="8"/>
      <c r="H84" s="8"/>
      <c r="I84" s="8"/>
    </row>
    <row r="85" spans="1:9" ht="16.95" hidden="1" customHeight="1" x14ac:dyDescent="0.2"/>
    <row r="86" spans="1:9" ht="13.5" hidden="1" customHeight="1" x14ac:dyDescent="0.2">
      <c r="A86" s="2"/>
      <c r="B86" s="2"/>
      <c r="C86" s="19" t="s">
        <v>98</v>
      </c>
      <c r="D86" s="29"/>
      <c r="E86" s="40"/>
      <c r="F86" s="29">
        <v>1542040.4550000001</v>
      </c>
    </row>
    <row r="87" spans="1:9" ht="13.5" hidden="1" customHeight="1" x14ac:dyDescent="0.2">
      <c r="C87" s="3" t="s">
        <v>99</v>
      </c>
      <c r="D87" s="30" t="s">
        <v>100</v>
      </c>
      <c r="F87" s="30">
        <v>816860</v>
      </c>
    </row>
    <row r="88" spans="1:9" ht="13.5" hidden="1" customHeight="1" x14ac:dyDescent="0.2">
      <c r="D88" s="30" t="s">
        <v>101</v>
      </c>
      <c r="F88" s="30">
        <v>725180.45499999996</v>
      </c>
    </row>
    <row r="89" spans="1:9" ht="11.4" hidden="1" x14ac:dyDescent="0.2">
      <c r="C89" s="19" t="s">
        <v>102</v>
      </c>
      <c r="D89" s="29"/>
      <c r="E89" s="40"/>
      <c r="F89" s="29">
        <v>1542040.4550000001</v>
      </c>
    </row>
    <row r="90" spans="1:9" ht="16.95" hidden="1" customHeight="1" x14ac:dyDescent="0.2"/>
    <row r="91" spans="1:9" ht="13.5" customHeight="1" x14ac:dyDescent="0.25">
      <c r="A91" s="4" t="s">
        <v>150</v>
      </c>
      <c r="D91" s="30" t="s">
        <v>156</v>
      </c>
      <c r="E91" s="33">
        <f>F111/D97</f>
        <v>6892.2506024096392</v>
      </c>
    </row>
    <row r="92" spans="1:9" ht="13.5" hidden="1" customHeight="1" x14ac:dyDescent="0.2">
      <c r="A92" s="5" t="s">
        <v>5</v>
      </c>
      <c r="B92" s="5" t="s">
        <v>6</v>
      </c>
      <c r="C92" s="6" t="s">
        <v>7</v>
      </c>
      <c r="D92" s="23" t="s">
        <v>8</v>
      </c>
      <c r="E92" s="34" t="s">
        <v>9</v>
      </c>
      <c r="F92" s="23" t="s">
        <v>10</v>
      </c>
    </row>
    <row r="93" spans="1:9" ht="13.5" hidden="1" customHeight="1" x14ac:dyDescent="0.2">
      <c r="A93" s="7">
        <v>1</v>
      </c>
      <c r="B93" s="7" t="s">
        <v>151</v>
      </c>
      <c r="C93" s="7" t="s">
        <v>11</v>
      </c>
      <c r="D93" s="24">
        <v>1</v>
      </c>
      <c r="E93" s="35">
        <v>254672</v>
      </c>
      <c r="F93" s="24">
        <v>254672</v>
      </c>
    </row>
    <row r="94" spans="1:9" ht="13.5" hidden="1" customHeight="1" x14ac:dyDescent="0.2">
      <c r="A94" s="9" t="s">
        <v>12</v>
      </c>
      <c r="B94" s="10" t="s">
        <v>152</v>
      </c>
      <c r="C94" s="9" t="s">
        <v>76</v>
      </c>
      <c r="D94" s="25">
        <v>41</v>
      </c>
      <c r="E94" s="36">
        <v>3520</v>
      </c>
      <c r="F94" s="25">
        <v>144320</v>
      </c>
      <c r="G94" s="8"/>
      <c r="H94" s="8"/>
      <c r="I94" s="8"/>
    </row>
    <row r="95" spans="1:9" ht="13.5" hidden="1" customHeight="1" x14ac:dyDescent="0.2">
      <c r="A95" s="9" t="s">
        <v>15</v>
      </c>
      <c r="B95" s="10" t="s">
        <v>153</v>
      </c>
      <c r="C95" s="9" t="s">
        <v>76</v>
      </c>
      <c r="D95" s="25">
        <v>41</v>
      </c>
      <c r="E95" s="36">
        <v>960</v>
      </c>
      <c r="F95" s="25">
        <v>39360</v>
      </c>
      <c r="G95" s="8"/>
      <c r="H95" s="8"/>
      <c r="I95" s="8"/>
    </row>
    <row r="96" spans="1:9" ht="13.5" hidden="1" customHeight="1" x14ac:dyDescent="0.2">
      <c r="A96" s="9" t="s">
        <v>18</v>
      </c>
      <c r="B96" s="10" t="s">
        <v>154</v>
      </c>
      <c r="C96" s="9" t="s">
        <v>76</v>
      </c>
      <c r="D96" s="25">
        <v>41</v>
      </c>
      <c r="E96" s="36">
        <v>112</v>
      </c>
      <c r="F96" s="25">
        <v>4592</v>
      </c>
      <c r="G96" s="8"/>
      <c r="H96" s="8"/>
      <c r="I96" s="8"/>
    </row>
    <row r="97" spans="1:9" ht="13.5" hidden="1" customHeight="1" x14ac:dyDescent="0.2">
      <c r="A97" s="9" t="s">
        <v>20</v>
      </c>
      <c r="B97" s="10" t="s">
        <v>155</v>
      </c>
      <c r="C97" s="9" t="s">
        <v>156</v>
      </c>
      <c r="D97" s="25">
        <v>83</v>
      </c>
      <c r="E97" s="36">
        <v>800</v>
      </c>
      <c r="F97" s="25">
        <v>66400</v>
      </c>
      <c r="G97" s="8"/>
      <c r="H97" s="8"/>
      <c r="I97" s="8"/>
    </row>
    <row r="98" spans="1:9" ht="13.5" hidden="1" customHeight="1" x14ac:dyDescent="0.2">
      <c r="A98" s="7">
        <v>2</v>
      </c>
      <c r="B98" s="7" t="s">
        <v>157</v>
      </c>
      <c r="C98" s="7" t="s">
        <v>11</v>
      </c>
      <c r="D98" s="24">
        <v>1</v>
      </c>
      <c r="E98" s="35">
        <v>270584.8</v>
      </c>
      <c r="F98" s="24">
        <v>270584.8</v>
      </c>
    </row>
    <row r="99" spans="1:9" ht="13.5" hidden="1" customHeight="1" x14ac:dyDescent="0.2">
      <c r="A99" s="11" t="s">
        <v>30</v>
      </c>
      <c r="B99" s="12" t="s">
        <v>158</v>
      </c>
      <c r="C99" s="11" t="s">
        <v>76</v>
      </c>
      <c r="D99" s="26">
        <v>41</v>
      </c>
      <c r="E99" s="37">
        <v>3360</v>
      </c>
      <c r="F99" s="26">
        <v>137760</v>
      </c>
    </row>
    <row r="100" spans="1:9" ht="13.5" hidden="1" customHeight="1" x14ac:dyDescent="0.2">
      <c r="A100" s="11" t="s">
        <v>32</v>
      </c>
      <c r="B100" s="12" t="s">
        <v>159</v>
      </c>
      <c r="C100" s="11" t="s">
        <v>76</v>
      </c>
      <c r="D100" s="26">
        <v>41</v>
      </c>
      <c r="E100" s="37">
        <v>700</v>
      </c>
      <c r="F100" s="26">
        <v>28700</v>
      </c>
    </row>
    <row r="101" spans="1:9" ht="13.5" hidden="1" customHeight="1" x14ac:dyDescent="0.2">
      <c r="A101" s="11" t="s">
        <v>34</v>
      </c>
      <c r="B101" s="12" t="s">
        <v>160</v>
      </c>
      <c r="C101" s="11" t="s">
        <v>76</v>
      </c>
      <c r="D101" s="26">
        <v>1</v>
      </c>
      <c r="E101" s="37">
        <v>3558.8</v>
      </c>
      <c r="F101" s="26">
        <v>3558.8</v>
      </c>
    </row>
    <row r="102" spans="1:9" ht="13.5" hidden="1" customHeight="1" x14ac:dyDescent="0.2">
      <c r="A102" s="11" t="s">
        <v>36</v>
      </c>
      <c r="B102" s="12" t="s">
        <v>33</v>
      </c>
      <c r="C102" s="11" t="s">
        <v>24</v>
      </c>
      <c r="D102" s="26">
        <v>2.7</v>
      </c>
      <c r="E102" s="37">
        <v>34300</v>
      </c>
      <c r="F102" s="26">
        <v>92610</v>
      </c>
    </row>
    <row r="103" spans="1:9" ht="13.5" hidden="1" customHeight="1" x14ac:dyDescent="0.2">
      <c r="A103" s="11" t="s">
        <v>38</v>
      </c>
      <c r="B103" s="12" t="s">
        <v>161</v>
      </c>
      <c r="C103" s="11" t="s">
        <v>52</v>
      </c>
      <c r="D103" s="26">
        <v>9</v>
      </c>
      <c r="E103" s="37">
        <v>884</v>
      </c>
      <c r="F103" s="26">
        <v>7956</v>
      </c>
    </row>
    <row r="104" spans="1:9" ht="13.5" hidden="1" customHeight="1" x14ac:dyDescent="0.2">
      <c r="A104" s="7">
        <v>3</v>
      </c>
      <c r="B104" s="7" t="s">
        <v>162</v>
      </c>
      <c r="C104" s="7" t="s">
        <v>69</v>
      </c>
      <c r="D104" s="24">
        <v>1</v>
      </c>
      <c r="E104" s="35">
        <v>46800</v>
      </c>
      <c r="F104" s="24">
        <v>46800</v>
      </c>
    </row>
    <row r="105" spans="1:9" ht="13.5" hidden="1" customHeight="1" x14ac:dyDescent="0.2">
      <c r="A105" s="17" t="s">
        <v>60</v>
      </c>
      <c r="B105" s="18" t="s">
        <v>163</v>
      </c>
      <c r="C105" s="17" t="s">
        <v>69</v>
      </c>
      <c r="D105" s="28">
        <v>1</v>
      </c>
      <c r="E105" s="39">
        <v>30000</v>
      </c>
      <c r="F105" s="28">
        <v>30000</v>
      </c>
      <c r="G105" s="16"/>
      <c r="H105" s="16"/>
      <c r="I105" s="16"/>
    </row>
    <row r="106" spans="1:9" ht="13.5" hidden="1" customHeight="1" x14ac:dyDescent="0.2">
      <c r="A106" s="17" t="s">
        <v>63</v>
      </c>
      <c r="B106" s="18" t="s">
        <v>164</v>
      </c>
      <c r="C106" s="17" t="s">
        <v>165</v>
      </c>
      <c r="D106" s="28">
        <v>1</v>
      </c>
      <c r="E106" s="39">
        <v>16800</v>
      </c>
      <c r="F106" s="28">
        <v>16800</v>
      </c>
      <c r="G106" s="16"/>
      <c r="H106" s="16"/>
      <c r="I106" s="16"/>
    </row>
    <row r="107" spans="1:9" ht="16.95" hidden="1" customHeight="1" x14ac:dyDescent="0.2"/>
    <row r="108" spans="1:9" ht="13.5" hidden="1" customHeight="1" x14ac:dyDescent="0.2">
      <c r="A108" s="2"/>
      <c r="B108" s="2"/>
      <c r="C108" s="19" t="s">
        <v>98</v>
      </c>
      <c r="D108" s="29"/>
      <c r="E108" s="40"/>
      <c r="F108" s="29">
        <v>572056.80000000005</v>
      </c>
    </row>
    <row r="109" spans="1:9" ht="13.5" hidden="1" customHeight="1" x14ac:dyDescent="0.2">
      <c r="C109" s="3" t="s">
        <v>99</v>
      </c>
      <c r="D109" s="30" t="s">
        <v>100</v>
      </c>
      <c r="F109" s="30">
        <v>254672</v>
      </c>
    </row>
    <row r="110" spans="1:9" ht="13.5" hidden="1" customHeight="1" x14ac:dyDescent="0.2">
      <c r="D110" s="30" t="s">
        <v>101</v>
      </c>
      <c r="F110" s="30">
        <v>317384.8</v>
      </c>
    </row>
    <row r="111" spans="1:9" ht="11.4" hidden="1" x14ac:dyDescent="0.2">
      <c r="C111" s="19" t="s">
        <v>102</v>
      </c>
      <c r="D111" s="29"/>
      <c r="E111" s="40"/>
      <c r="F111" s="29">
        <v>572056.80000000005</v>
      </c>
    </row>
    <row r="112" spans="1:9" ht="16.95" hidden="1" customHeight="1" x14ac:dyDescent="0.2"/>
    <row r="113" spans="1:9" ht="13.5" customHeight="1" x14ac:dyDescent="0.25">
      <c r="A113" s="4" t="s">
        <v>166</v>
      </c>
      <c r="D113" s="30" t="s">
        <v>156</v>
      </c>
      <c r="E113" s="33">
        <f>F138/190</f>
        <v>8945.8157894736851</v>
      </c>
    </row>
    <row r="114" spans="1:9" ht="13.5" hidden="1" customHeight="1" x14ac:dyDescent="0.2">
      <c r="A114" s="5" t="s">
        <v>5</v>
      </c>
      <c r="B114" s="5" t="s">
        <v>6</v>
      </c>
      <c r="C114" s="6" t="s">
        <v>7</v>
      </c>
      <c r="D114" s="23" t="s">
        <v>8</v>
      </c>
      <c r="E114" s="34" t="s">
        <v>9</v>
      </c>
      <c r="F114" s="23" t="s">
        <v>10</v>
      </c>
    </row>
    <row r="115" spans="1:9" ht="13.5" hidden="1" customHeight="1" x14ac:dyDescent="0.2">
      <c r="A115" s="9">
        <v>1</v>
      </c>
      <c r="B115" s="9" t="s">
        <v>167</v>
      </c>
      <c r="C115" s="9" t="s">
        <v>76</v>
      </c>
      <c r="D115" s="25">
        <v>80</v>
      </c>
      <c r="E115" s="36">
        <v>3500</v>
      </c>
      <c r="F115" s="25">
        <v>280000</v>
      </c>
      <c r="G115" s="8"/>
      <c r="H115" s="8"/>
      <c r="I115" s="8"/>
    </row>
    <row r="116" spans="1:9" ht="13.5" hidden="1" customHeight="1" x14ac:dyDescent="0.2">
      <c r="A116" s="9">
        <v>2</v>
      </c>
      <c r="B116" s="9" t="s">
        <v>168</v>
      </c>
      <c r="C116" s="9" t="s">
        <v>76</v>
      </c>
      <c r="D116" s="25">
        <v>80</v>
      </c>
      <c r="E116" s="36">
        <v>700</v>
      </c>
      <c r="F116" s="25">
        <v>56000</v>
      </c>
      <c r="G116" s="8"/>
      <c r="H116" s="8"/>
      <c r="I116" s="8"/>
    </row>
    <row r="117" spans="1:9" ht="13.5" hidden="1" customHeight="1" x14ac:dyDescent="0.2">
      <c r="A117" s="9">
        <v>3</v>
      </c>
      <c r="B117" s="9" t="s">
        <v>153</v>
      </c>
      <c r="C117" s="9" t="s">
        <v>76</v>
      </c>
      <c r="D117" s="25">
        <v>26</v>
      </c>
      <c r="E117" s="36">
        <v>700</v>
      </c>
      <c r="F117" s="25">
        <v>18200</v>
      </c>
      <c r="G117" s="8"/>
      <c r="H117" s="8"/>
      <c r="I117" s="8"/>
    </row>
    <row r="118" spans="1:9" ht="13.5" hidden="1" customHeight="1" x14ac:dyDescent="0.2">
      <c r="A118" s="9">
        <v>4</v>
      </c>
      <c r="B118" s="9" t="s">
        <v>169</v>
      </c>
      <c r="C118" s="9" t="s">
        <v>76</v>
      </c>
      <c r="D118" s="25">
        <v>110</v>
      </c>
      <c r="E118" s="36">
        <v>70</v>
      </c>
      <c r="F118" s="25">
        <v>7700</v>
      </c>
      <c r="G118" s="8"/>
      <c r="H118" s="8"/>
      <c r="I118" s="8"/>
    </row>
    <row r="119" spans="1:9" ht="13.5" hidden="1" customHeight="1" x14ac:dyDescent="0.2">
      <c r="A119" s="9">
        <v>5</v>
      </c>
      <c r="B119" s="9" t="s">
        <v>155</v>
      </c>
      <c r="C119" s="9" t="s">
        <v>156</v>
      </c>
      <c r="D119" s="25">
        <v>190</v>
      </c>
      <c r="E119" s="36">
        <v>560</v>
      </c>
      <c r="F119" s="25">
        <v>106400</v>
      </c>
      <c r="G119" s="8"/>
      <c r="H119" s="8"/>
      <c r="I119" s="8"/>
    </row>
    <row r="120" spans="1:9" ht="13.5" hidden="1" customHeight="1" x14ac:dyDescent="0.2">
      <c r="A120" s="9">
        <v>6</v>
      </c>
      <c r="B120" s="9" t="s">
        <v>170</v>
      </c>
      <c r="C120" s="9" t="s">
        <v>17</v>
      </c>
      <c r="D120" s="25">
        <v>241</v>
      </c>
      <c r="E120" s="36">
        <v>585</v>
      </c>
      <c r="F120" s="25">
        <v>140985</v>
      </c>
      <c r="G120" s="8"/>
      <c r="H120" s="8"/>
      <c r="I120" s="8"/>
    </row>
    <row r="121" spans="1:9" ht="13.5" hidden="1" customHeight="1" x14ac:dyDescent="0.2">
      <c r="A121" s="11">
        <v>7</v>
      </c>
      <c r="B121" s="11" t="s">
        <v>171</v>
      </c>
      <c r="C121" s="11" t="s">
        <v>76</v>
      </c>
      <c r="D121" s="26">
        <v>80</v>
      </c>
      <c r="E121" s="37">
        <v>3900</v>
      </c>
      <c r="F121" s="26">
        <v>312000</v>
      </c>
    </row>
    <row r="122" spans="1:9" ht="13.5" hidden="1" customHeight="1" x14ac:dyDescent="0.2">
      <c r="A122" s="11">
        <v>8</v>
      </c>
      <c r="B122" s="11" t="s">
        <v>172</v>
      </c>
      <c r="C122" s="11" t="s">
        <v>76</v>
      </c>
      <c r="D122" s="26">
        <v>80</v>
      </c>
      <c r="E122" s="37">
        <v>1040</v>
      </c>
      <c r="F122" s="26">
        <v>83200</v>
      </c>
    </row>
    <row r="123" spans="1:9" ht="13.5" hidden="1" customHeight="1" x14ac:dyDescent="0.2">
      <c r="A123" s="11">
        <v>9</v>
      </c>
      <c r="B123" s="11" t="s">
        <v>159</v>
      </c>
      <c r="C123" s="11" t="s">
        <v>76</v>
      </c>
      <c r="D123" s="26">
        <v>26</v>
      </c>
      <c r="E123" s="37">
        <v>780</v>
      </c>
      <c r="F123" s="26">
        <v>20280</v>
      </c>
    </row>
    <row r="124" spans="1:9" ht="13.5" hidden="1" customHeight="1" x14ac:dyDescent="0.2">
      <c r="A124" s="11">
        <v>10</v>
      </c>
      <c r="B124" s="11" t="s">
        <v>51</v>
      </c>
      <c r="C124" s="11" t="s">
        <v>52</v>
      </c>
      <c r="D124" s="26">
        <v>2</v>
      </c>
      <c r="E124" s="37">
        <v>3380</v>
      </c>
      <c r="F124" s="26">
        <v>6760</v>
      </c>
    </row>
    <row r="125" spans="1:9" ht="13.5" hidden="1" customHeight="1" x14ac:dyDescent="0.2">
      <c r="A125" s="11">
        <v>11</v>
      </c>
      <c r="B125" s="11" t="s">
        <v>33</v>
      </c>
      <c r="C125" s="11" t="s">
        <v>24</v>
      </c>
      <c r="D125" s="26">
        <v>7.79</v>
      </c>
      <c r="E125" s="37">
        <v>28600</v>
      </c>
      <c r="F125" s="26">
        <v>222794</v>
      </c>
    </row>
    <row r="126" spans="1:9" ht="13.5" hidden="1" customHeight="1" x14ac:dyDescent="0.2">
      <c r="A126" s="11">
        <v>12</v>
      </c>
      <c r="B126" s="11" t="s">
        <v>161</v>
      </c>
      <c r="C126" s="11" t="s">
        <v>52</v>
      </c>
      <c r="D126" s="26">
        <v>29</v>
      </c>
      <c r="E126" s="37">
        <v>884</v>
      </c>
      <c r="F126" s="26">
        <v>25636</v>
      </c>
    </row>
    <row r="127" spans="1:9" ht="13.5" hidden="1" customHeight="1" x14ac:dyDescent="0.2">
      <c r="A127" s="11">
        <v>13</v>
      </c>
      <c r="B127" s="11" t="s">
        <v>173</v>
      </c>
      <c r="C127" s="11" t="s">
        <v>24</v>
      </c>
      <c r="D127" s="26">
        <v>6.1</v>
      </c>
      <c r="E127" s="37">
        <v>28600</v>
      </c>
      <c r="F127" s="26">
        <v>174460</v>
      </c>
    </row>
    <row r="128" spans="1:9" ht="13.5" hidden="1" customHeight="1" x14ac:dyDescent="0.2">
      <c r="A128" s="11">
        <v>14</v>
      </c>
      <c r="B128" s="11" t="s">
        <v>174</v>
      </c>
      <c r="C128" s="11" t="s">
        <v>175</v>
      </c>
      <c r="D128" s="26">
        <v>15</v>
      </c>
      <c r="E128" s="37">
        <v>1950</v>
      </c>
      <c r="F128" s="26">
        <v>29250</v>
      </c>
    </row>
    <row r="129" spans="1:9" ht="13.5" hidden="1" customHeight="1" x14ac:dyDescent="0.2">
      <c r="A129" s="11">
        <v>15</v>
      </c>
      <c r="B129" s="11" t="s">
        <v>176</v>
      </c>
      <c r="C129" s="11" t="s">
        <v>76</v>
      </c>
      <c r="D129" s="26">
        <v>100</v>
      </c>
      <c r="E129" s="37">
        <v>754</v>
      </c>
      <c r="F129" s="26">
        <v>75400</v>
      </c>
    </row>
    <row r="130" spans="1:9" ht="13.5" hidden="1" customHeight="1" x14ac:dyDescent="0.2">
      <c r="A130" s="11">
        <v>16</v>
      </c>
      <c r="B130" s="11" t="s">
        <v>177</v>
      </c>
      <c r="C130" s="11" t="s">
        <v>52</v>
      </c>
      <c r="D130" s="26">
        <v>60</v>
      </c>
      <c r="E130" s="37">
        <v>884</v>
      </c>
      <c r="F130" s="26">
        <v>53040</v>
      </c>
    </row>
    <row r="131" spans="1:9" ht="13.5" hidden="1" customHeight="1" x14ac:dyDescent="0.2">
      <c r="A131" s="17">
        <v>17</v>
      </c>
      <c r="B131" s="17" t="s">
        <v>163</v>
      </c>
      <c r="C131" s="17" t="s">
        <v>69</v>
      </c>
      <c r="D131" s="28">
        <v>1</v>
      </c>
      <c r="E131" s="39">
        <v>26400</v>
      </c>
      <c r="F131" s="28">
        <v>26400</v>
      </c>
      <c r="G131" s="16"/>
      <c r="H131" s="16"/>
      <c r="I131" s="16"/>
    </row>
    <row r="132" spans="1:9" ht="13.5" hidden="1" customHeight="1" x14ac:dyDescent="0.2">
      <c r="A132" s="17">
        <v>18</v>
      </c>
      <c r="B132" s="17" t="s">
        <v>164</v>
      </c>
      <c r="C132" s="17" t="s">
        <v>165</v>
      </c>
      <c r="D132" s="28">
        <v>1</v>
      </c>
      <c r="E132" s="39">
        <v>21600</v>
      </c>
      <c r="F132" s="28">
        <v>21600</v>
      </c>
      <c r="G132" s="16"/>
      <c r="H132" s="16"/>
      <c r="I132" s="16"/>
    </row>
    <row r="133" spans="1:9" ht="13.5" hidden="1" customHeight="1" x14ac:dyDescent="0.2">
      <c r="A133" s="17">
        <v>19</v>
      </c>
      <c r="B133" s="17" t="s">
        <v>178</v>
      </c>
      <c r="C133" s="17" t="s">
        <v>69</v>
      </c>
      <c r="D133" s="28">
        <v>2</v>
      </c>
      <c r="E133" s="39">
        <v>19800</v>
      </c>
      <c r="F133" s="28">
        <v>39600</v>
      </c>
      <c r="G133" s="16"/>
      <c r="H133" s="16"/>
      <c r="I133" s="16"/>
    </row>
    <row r="134" spans="1:9" ht="16.95" hidden="1" customHeight="1" x14ac:dyDescent="0.2"/>
    <row r="135" spans="1:9" ht="13.5" hidden="1" customHeight="1" x14ac:dyDescent="0.2">
      <c r="A135" s="2"/>
      <c r="B135" s="2"/>
      <c r="C135" s="19" t="s">
        <v>98</v>
      </c>
      <c r="D135" s="29"/>
      <c r="E135" s="40"/>
      <c r="F135" s="29">
        <v>1699705</v>
      </c>
    </row>
    <row r="136" spans="1:9" ht="13.5" hidden="1" customHeight="1" x14ac:dyDescent="0.2">
      <c r="C136" s="3" t="s">
        <v>99</v>
      </c>
      <c r="D136" s="30" t="s">
        <v>100</v>
      </c>
      <c r="F136" s="30">
        <v>609285</v>
      </c>
    </row>
    <row r="137" spans="1:9" ht="13.5" hidden="1" customHeight="1" x14ac:dyDescent="0.2">
      <c r="D137" s="30" t="s">
        <v>101</v>
      </c>
      <c r="F137" s="30">
        <v>1090420</v>
      </c>
    </row>
    <row r="138" spans="1:9" ht="11.4" hidden="1" x14ac:dyDescent="0.2">
      <c r="C138" s="19" t="s">
        <v>102</v>
      </c>
      <c r="D138" s="29"/>
      <c r="E138" s="40"/>
      <c r="F138" s="29">
        <v>1699705</v>
      </c>
    </row>
    <row r="139" spans="1:9" ht="16.95" hidden="1" customHeight="1" x14ac:dyDescent="0.2"/>
    <row r="140" spans="1:9" ht="13.5" customHeight="1" x14ac:dyDescent="0.25">
      <c r="A140" s="4" t="s">
        <v>179</v>
      </c>
      <c r="D140" s="30" t="s">
        <v>17</v>
      </c>
      <c r="E140" s="33">
        <f>F158/93.4</f>
        <v>4505.7762312633831</v>
      </c>
    </row>
    <row r="141" spans="1:9" ht="13.5" hidden="1" customHeight="1" x14ac:dyDescent="0.2">
      <c r="A141" s="5" t="s">
        <v>5</v>
      </c>
      <c r="B141" s="5" t="s">
        <v>6</v>
      </c>
      <c r="C141" s="6" t="s">
        <v>7</v>
      </c>
      <c r="D141" s="23" t="s">
        <v>8</v>
      </c>
      <c r="E141" s="34" t="s">
        <v>9</v>
      </c>
      <c r="F141" s="23" t="s">
        <v>10</v>
      </c>
    </row>
    <row r="142" spans="1:9" ht="13.5" hidden="1" customHeight="1" x14ac:dyDescent="0.2">
      <c r="A142" s="7">
        <v>1</v>
      </c>
      <c r="B142" s="7" t="s">
        <v>180</v>
      </c>
      <c r="C142" s="7" t="s">
        <v>11</v>
      </c>
      <c r="D142" s="24">
        <v>1</v>
      </c>
      <c r="E142" s="35">
        <v>63750</v>
      </c>
      <c r="F142" s="24">
        <v>63750</v>
      </c>
    </row>
    <row r="143" spans="1:9" ht="13.5" hidden="1" customHeight="1" x14ac:dyDescent="0.2">
      <c r="A143" s="9" t="s">
        <v>12</v>
      </c>
      <c r="B143" s="10" t="s">
        <v>181</v>
      </c>
      <c r="C143" s="9" t="s">
        <v>76</v>
      </c>
      <c r="D143" s="25">
        <v>11</v>
      </c>
      <c r="E143" s="36">
        <v>3750</v>
      </c>
      <c r="F143" s="25">
        <v>41250</v>
      </c>
      <c r="G143" s="8"/>
      <c r="H143" s="8"/>
      <c r="I143" s="8"/>
    </row>
    <row r="144" spans="1:9" ht="13.5" hidden="1" customHeight="1" x14ac:dyDescent="0.2">
      <c r="A144" s="9" t="s">
        <v>15</v>
      </c>
      <c r="B144" s="10" t="s">
        <v>182</v>
      </c>
      <c r="C144" s="9" t="s">
        <v>76</v>
      </c>
      <c r="D144" s="25">
        <v>1</v>
      </c>
      <c r="E144" s="36">
        <v>22500</v>
      </c>
      <c r="F144" s="25">
        <v>22500</v>
      </c>
      <c r="G144" s="8"/>
      <c r="H144" s="8"/>
      <c r="I144" s="8"/>
    </row>
    <row r="145" spans="1:9" ht="13.5" hidden="1" customHeight="1" x14ac:dyDescent="0.2">
      <c r="A145" s="7">
        <v>2</v>
      </c>
      <c r="B145" s="7" t="s">
        <v>29</v>
      </c>
      <c r="C145" s="7" t="s">
        <v>11</v>
      </c>
      <c r="D145" s="24">
        <v>1</v>
      </c>
      <c r="E145" s="35">
        <v>324089.5</v>
      </c>
      <c r="F145" s="24">
        <v>324089.5</v>
      </c>
    </row>
    <row r="146" spans="1:9" ht="13.5" hidden="1" customHeight="1" x14ac:dyDescent="0.2">
      <c r="A146" s="11" t="s">
        <v>30</v>
      </c>
      <c r="B146" s="12" t="s">
        <v>33</v>
      </c>
      <c r="C146" s="11" t="s">
        <v>24</v>
      </c>
      <c r="D146" s="26">
        <v>1.4</v>
      </c>
      <c r="E146" s="37">
        <v>24150</v>
      </c>
      <c r="F146" s="26">
        <v>33810</v>
      </c>
    </row>
    <row r="147" spans="1:9" ht="13.5" hidden="1" customHeight="1" x14ac:dyDescent="0.2">
      <c r="A147" s="11" t="s">
        <v>32</v>
      </c>
      <c r="B147" s="12" t="s">
        <v>183</v>
      </c>
      <c r="C147" s="11" t="s">
        <v>24</v>
      </c>
      <c r="D147" s="26">
        <v>1.8</v>
      </c>
      <c r="E147" s="37">
        <v>8452.5</v>
      </c>
      <c r="F147" s="26">
        <v>15214.5</v>
      </c>
    </row>
    <row r="148" spans="1:9" ht="13.5" hidden="1" customHeight="1" x14ac:dyDescent="0.2">
      <c r="A148" s="11" t="s">
        <v>34</v>
      </c>
      <c r="B148" s="12" t="s">
        <v>184</v>
      </c>
      <c r="C148" s="11" t="s">
        <v>40</v>
      </c>
      <c r="D148" s="26">
        <v>0.4</v>
      </c>
      <c r="E148" s="37">
        <v>73600</v>
      </c>
      <c r="F148" s="26">
        <v>29440</v>
      </c>
    </row>
    <row r="149" spans="1:9" ht="13.5" hidden="1" customHeight="1" x14ac:dyDescent="0.2">
      <c r="A149" s="11" t="s">
        <v>36</v>
      </c>
      <c r="B149" s="12" t="s">
        <v>44</v>
      </c>
      <c r="C149" s="11" t="s">
        <v>40</v>
      </c>
      <c r="D149" s="26">
        <v>0.02</v>
      </c>
      <c r="E149" s="37">
        <v>131250</v>
      </c>
      <c r="F149" s="26">
        <v>2625</v>
      </c>
    </row>
    <row r="150" spans="1:9" ht="13.5" hidden="1" customHeight="1" x14ac:dyDescent="0.2">
      <c r="A150" s="11" t="s">
        <v>38</v>
      </c>
      <c r="B150" s="12" t="s">
        <v>185</v>
      </c>
      <c r="C150" s="11" t="s">
        <v>76</v>
      </c>
      <c r="D150" s="26">
        <v>1</v>
      </c>
      <c r="E150" s="37">
        <v>225000</v>
      </c>
      <c r="F150" s="26">
        <v>225000</v>
      </c>
    </row>
    <row r="151" spans="1:9" ht="13.5" hidden="1" customHeight="1" x14ac:dyDescent="0.2">
      <c r="A151" s="11" t="s">
        <v>41</v>
      </c>
      <c r="B151" s="12" t="s">
        <v>59</v>
      </c>
      <c r="C151" s="11" t="s">
        <v>76</v>
      </c>
      <c r="D151" s="26">
        <v>1</v>
      </c>
      <c r="E151" s="37">
        <v>18000</v>
      </c>
      <c r="F151" s="26">
        <v>18000</v>
      </c>
    </row>
    <row r="152" spans="1:9" ht="13.5" hidden="1" customHeight="1" x14ac:dyDescent="0.2">
      <c r="A152" s="7">
        <v>3</v>
      </c>
      <c r="B152" s="7" t="s">
        <v>186</v>
      </c>
      <c r="C152" s="7" t="s">
        <v>11</v>
      </c>
      <c r="D152" s="24">
        <v>1</v>
      </c>
      <c r="E152" s="35">
        <v>33000</v>
      </c>
      <c r="F152" s="24">
        <v>33000</v>
      </c>
    </row>
    <row r="153" spans="1:9" ht="13.5" hidden="1" customHeight="1" x14ac:dyDescent="0.2">
      <c r="A153" s="14" t="s">
        <v>60</v>
      </c>
      <c r="B153" s="15" t="s">
        <v>97</v>
      </c>
      <c r="C153" s="14" t="s">
        <v>62</v>
      </c>
      <c r="D153" s="27">
        <v>1</v>
      </c>
      <c r="E153" s="38">
        <v>33000</v>
      </c>
      <c r="F153" s="27">
        <v>33000</v>
      </c>
      <c r="G153" s="13"/>
      <c r="H153" s="13"/>
      <c r="I153" s="13"/>
    </row>
    <row r="154" spans="1:9" ht="16.95" hidden="1" customHeight="1" x14ac:dyDescent="0.2"/>
    <row r="155" spans="1:9" ht="13.5" hidden="1" customHeight="1" x14ac:dyDescent="0.2">
      <c r="A155" s="2"/>
      <c r="B155" s="2"/>
      <c r="C155" s="19" t="s">
        <v>98</v>
      </c>
      <c r="D155" s="29"/>
      <c r="E155" s="40"/>
      <c r="F155" s="29">
        <v>420839.5</v>
      </c>
    </row>
    <row r="156" spans="1:9" ht="13.5" hidden="1" customHeight="1" x14ac:dyDescent="0.2">
      <c r="C156" s="3" t="s">
        <v>99</v>
      </c>
      <c r="D156" s="30" t="s">
        <v>100</v>
      </c>
      <c r="F156" s="30">
        <v>63750</v>
      </c>
    </row>
    <row r="157" spans="1:9" ht="13.5" hidden="1" customHeight="1" x14ac:dyDescent="0.2">
      <c r="D157" s="30" t="s">
        <v>101</v>
      </c>
      <c r="F157" s="30">
        <v>357089.5</v>
      </c>
    </row>
    <row r="158" spans="1:9" ht="11.4" hidden="1" x14ac:dyDescent="0.2">
      <c r="C158" s="19" t="s">
        <v>102</v>
      </c>
      <c r="D158" s="29"/>
      <c r="E158" s="40"/>
      <c r="F158" s="29">
        <v>420839.5</v>
      </c>
    </row>
    <row r="159" spans="1:9" ht="16.95" hidden="1" customHeight="1" x14ac:dyDescent="0.2"/>
    <row r="160" spans="1:9" ht="13.5" customHeight="1" x14ac:dyDescent="0.25">
      <c r="A160" s="4" t="s">
        <v>187</v>
      </c>
      <c r="D160" s="30" t="s">
        <v>17</v>
      </c>
      <c r="E160" s="33">
        <f>F180/D163</f>
        <v>3970.3676470588234</v>
      </c>
    </row>
    <row r="161" spans="1:9" ht="13.5" hidden="1" customHeight="1" x14ac:dyDescent="0.2">
      <c r="A161" s="5" t="s">
        <v>5</v>
      </c>
      <c r="B161" s="5" t="s">
        <v>6</v>
      </c>
      <c r="C161" s="6" t="s">
        <v>7</v>
      </c>
      <c r="D161" s="23" t="s">
        <v>8</v>
      </c>
      <c r="E161" s="34" t="s">
        <v>9</v>
      </c>
      <c r="F161" s="23" t="s">
        <v>10</v>
      </c>
    </row>
    <row r="162" spans="1:9" ht="13.5" hidden="1" customHeight="1" x14ac:dyDescent="0.2">
      <c r="A162" s="7">
        <v>4</v>
      </c>
      <c r="B162" s="7" t="s">
        <v>192</v>
      </c>
      <c r="C162" s="7" t="s">
        <v>11</v>
      </c>
      <c r="D162" s="24">
        <v>1</v>
      </c>
      <c r="E162" s="35">
        <v>251070</v>
      </c>
      <c r="F162" s="24">
        <f>SUM(F163:F167)</f>
        <v>251070</v>
      </c>
    </row>
    <row r="163" spans="1:9" ht="13.5" hidden="1" customHeight="1" x14ac:dyDescent="0.2">
      <c r="A163" s="9" t="s">
        <v>193</v>
      </c>
      <c r="B163" s="10" t="s">
        <v>194</v>
      </c>
      <c r="C163" s="9" t="s">
        <v>17</v>
      </c>
      <c r="D163" s="25">
        <v>136</v>
      </c>
      <c r="E163" s="36">
        <v>675</v>
      </c>
      <c r="F163" s="25">
        <v>91800</v>
      </c>
      <c r="G163" s="8"/>
      <c r="H163" s="8"/>
      <c r="I163" s="8"/>
    </row>
    <row r="164" spans="1:9" ht="13.5" hidden="1" customHeight="1" x14ac:dyDescent="0.2">
      <c r="A164" s="9" t="s">
        <v>195</v>
      </c>
      <c r="B164" s="10" t="s">
        <v>196</v>
      </c>
      <c r="C164" s="9" t="s">
        <v>17</v>
      </c>
      <c r="D164" s="25">
        <v>136</v>
      </c>
      <c r="E164" s="36">
        <v>570</v>
      </c>
      <c r="F164" s="25">
        <v>77520</v>
      </c>
      <c r="G164" s="8"/>
      <c r="H164" s="8"/>
      <c r="I164" s="8"/>
    </row>
    <row r="165" spans="1:9" ht="13.5" hidden="1" customHeight="1" x14ac:dyDescent="0.2">
      <c r="A165" s="9" t="s">
        <v>197</v>
      </c>
      <c r="B165" s="10" t="s">
        <v>198</v>
      </c>
      <c r="C165" s="9" t="s">
        <v>17</v>
      </c>
      <c r="D165" s="25">
        <v>136</v>
      </c>
      <c r="E165" s="36">
        <v>150</v>
      </c>
      <c r="F165" s="25">
        <v>20400</v>
      </c>
      <c r="G165" s="8"/>
      <c r="H165" s="8"/>
      <c r="I165" s="8"/>
    </row>
    <row r="166" spans="1:9" ht="13.5" hidden="1" customHeight="1" x14ac:dyDescent="0.2">
      <c r="A166" s="9" t="s">
        <v>199</v>
      </c>
      <c r="B166" s="10" t="s">
        <v>200</v>
      </c>
      <c r="C166" s="9" t="s">
        <v>17</v>
      </c>
      <c r="D166" s="25">
        <v>136</v>
      </c>
      <c r="E166" s="36">
        <v>375</v>
      </c>
      <c r="F166" s="25">
        <v>51000</v>
      </c>
      <c r="G166" s="8"/>
      <c r="H166" s="8"/>
      <c r="I166" s="8"/>
    </row>
    <row r="167" spans="1:9" ht="13.5" hidden="1" customHeight="1" x14ac:dyDescent="0.2">
      <c r="A167" s="9" t="s">
        <v>201</v>
      </c>
      <c r="B167" s="10" t="s">
        <v>202</v>
      </c>
      <c r="C167" s="9" t="s">
        <v>191</v>
      </c>
      <c r="D167" s="25">
        <v>46</v>
      </c>
      <c r="E167" s="36">
        <v>225</v>
      </c>
      <c r="F167" s="25">
        <v>10350</v>
      </c>
      <c r="G167" s="8"/>
      <c r="H167" s="8"/>
      <c r="I167" s="8"/>
    </row>
    <row r="168" spans="1:9" ht="13.5" hidden="1" customHeight="1" x14ac:dyDescent="0.2">
      <c r="A168" s="7">
        <v>6</v>
      </c>
      <c r="B168" s="7" t="s">
        <v>207</v>
      </c>
      <c r="C168" s="7" t="s">
        <v>11</v>
      </c>
      <c r="D168" s="24">
        <v>1</v>
      </c>
      <c r="E168" s="35">
        <v>267300</v>
      </c>
      <c r="F168" s="24">
        <f>SUM(F169:F173)</f>
        <v>267300</v>
      </c>
    </row>
    <row r="169" spans="1:9" ht="13.5" hidden="1" customHeight="1" x14ac:dyDescent="0.2">
      <c r="A169" s="11" t="s">
        <v>208</v>
      </c>
      <c r="B169" s="12" t="s">
        <v>33</v>
      </c>
      <c r="C169" s="11" t="s">
        <v>24</v>
      </c>
      <c r="D169" s="26">
        <v>2.2999999999999998</v>
      </c>
      <c r="E169" s="37">
        <v>31200</v>
      </c>
      <c r="F169" s="26">
        <v>71760</v>
      </c>
    </row>
    <row r="170" spans="1:9" ht="13.5" hidden="1" customHeight="1" x14ac:dyDescent="0.2">
      <c r="A170" s="11" t="s">
        <v>209</v>
      </c>
      <c r="B170" s="12" t="s">
        <v>37</v>
      </c>
      <c r="C170" s="11" t="s">
        <v>24</v>
      </c>
      <c r="D170" s="26">
        <v>1.2</v>
      </c>
      <c r="E170" s="37">
        <v>31200</v>
      </c>
      <c r="F170" s="26">
        <v>37440</v>
      </c>
    </row>
    <row r="171" spans="1:9" ht="13.5" hidden="1" customHeight="1" x14ac:dyDescent="0.2">
      <c r="A171" s="11" t="s">
        <v>210</v>
      </c>
      <c r="B171" s="12" t="s">
        <v>211</v>
      </c>
      <c r="C171" s="11" t="s">
        <v>24</v>
      </c>
      <c r="D171" s="26">
        <v>0.7</v>
      </c>
      <c r="E171" s="37">
        <v>33600</v>
      </c>
      <c r="F171" s="26">
        <v>23520</v>
      </c>
    </row>
    <row r="172" spans="1:9" ht="13.5" hidden="1" customHeight="1" x14ac:dyDescent="0.2">
      <c r="A172" s="11" t="s">
        <v>212</v>
      </c>
      <c r="B172" s="12" t="s">
        <v>213</v>
      </c>
      <c r="C172" s="11" t="s">
        <v>214</v>
      </c>
      <c r="D172" s="26">
        <v>45</v>
      </c>
      <c r="E172" s="37">
        <v>2860</v>
      </c>
      <c r="F172" s="26">
        <v>128700</v>
      </c>
    </row>
    <row r="173" spans="1:9" ht="13.5" hidden="1" customHeight="1" x14ac:dyDescent="0.2">
      <c r="A173" s="11" t="s">
        <v>215</v>
      </c>
      <c r="B173" s="12" t="s">
        <v>216</v>
      </c>
      <c r="C173" s="11" t="s">
        <v>52</v>
      </c>
      <c r="D173" s="26">
        <v>2</v>
      </c>
      <c r="E173" s="37">
        <v>2940</v>
      </c>
      <c r="F173" s="26">
        <v>5880</v>
      </c>
    </row>
    <row r="174" spans="1:9" ht="13.5" hidden="1" customHeight="1" x14ac:dyDescent="0.2">
      <c r="A174" s="7">
        <v>7</v>
      </c>
      <c r="B174" s="7" t="s">
        <v>2</v>
      </c>
      <c r="C174" s="7" t="s">
        <v>11</v>
      </c>
      <c r="D174" s="24">
        <v>1</v>
      </c>
      <c r="E174" s="35">
        <v>21600</v>
      </c>
      <c r="F174" s="24">
        <v>21600</v>
      </c>
    </row>
    <row r="175" spans="1:9" ht="13.5" hidden="1" customHeight="1" x14ac:dyDescent="0.2">
      <c r="A175" s="17" t="s">
        <v>217</v>
      </c>
      <c r="B175" s="18" t="s">
        <v>218</v>
      </c>
      <c r="C175" s="17" t="s">
        <v>69</v>
      </c>
      <c r="D175" s="28">
        <v>1</v>
      </c>
      <c r="E175" s="39">
        <v>21600</v>
      </c>
      <c r="F175" s="28">
        <v>21600</v>
      </c>
      <c r="G175" s="16"/>
      <c r="H175" s="16"/>
      <c r="I175" s="16"/>
    </row>
    <row r="176" spans="1:9" ht="16.95" hidden="1" customHeight="1" x14ac:dyDescent="0.2"/>
    <row r="177" spans="1:9" ht="13.5" hidden="1" customHeight="1" x14ac:dyDescent="0.2">
      <c r="A177" s="2"/>
      <c r="B177" s="2"/>
      <c r="C177" s="19" t="s">
        <v>98</v>
      </c>
      <c r="D177" s="29"/>
      <c r="E177" s="40"/>
      <c r="F177" s="29">
        <f>F178+F179+F174</f>
        <v>539970</v>
      </c>
    </row>
    <row r="178" spans="1:9" ht="13.5" hidden="1" customHeight="1" x14ac:dyDescent="0.2">
      <c r="C178" s="3" t="s">
        <v>99</v>
      </c>
      <c r="D178" s="30" t="s">
        <v>100</v>
      </c>
      <c r="F178" s="30">
        <f>F162</f>
        <v>251070</v>
      </c>
    </row>
    <row r="179" spans="1:9" ht="13.5" hidden="1" customHeight="1" x14ac:dyDescent="0.2">
      <c r="D179" s="30" t="s">
        <v>101</v>
      </c>
      <c r="F179" s="30">
        <f>F168</f>
        <v>267300</v>
      </c>
    </row>
    <row r="180" spans="1:9" ht="11.4" hidden="1" x14ac:dyDescent="0.2">
      <c r="C180" s="19" t="s">
        <v>102</v>
      </c>
      <c r="D180" s="29"/>
      <c r="E180" s="40"/>
      <c r="F180" s="29">
        <f>F177</f>
        <v>539970</v>
      </c>
    </row>
    <row r="181" spans="1:9" ht="16.95" hidden="1" customHeight="1" x14ac:dyDescent="0.2"/>
    <row r="182" spans="1:9" ht="16.95" customHeight="1" x14ac:dyDescent="0.2">
      <c r="A182" t="s">
        <v>439</v>
      </c>
      <c r="D182" s="30" t="s">
        <v>24</v>
      </c>
      <c r="E182" s="33" t="s">
        <v>440</v>
      </c>
    </row>
    <row r="183" spans="1:9" ht="13.5" customHeight="1" x14ac:dyDescent="0.25">
      <c r="A183" s="4" t="s">
        <v>219</v>
      </c>
      <c r="D183" s="30" t="s">
        <v>24</v>
      </c>
      <c r="E183" s="33">
        <f>F215/34.2</f>
        <v>64074.713450292395</v>
      </c>
    </row>
    <row r="184" spans="1:9" ht="13.5" hidden="1" customHeight="1" x14ac:dyDescent="0.2">
      <c r="A184" s="5" t="s">
        <v>5</v>
      </c>
      <c r="B184" s="5" t="s">
        <v>6</v>
      </c>
      <c r="C184" s="6" t="s">
        <v>7</v>
      </c>
      <c r="D184" s="23" t="s">
        <v>8</v>
      </c>
      <c r="E184" s="34" t="s">
        <v>9</v>
      </c>
      <c r="F184" s="23" t="s">
        <v>10</v>
      </c>
    </row>
    <row r="185" spans="1:9" ht="13.5" hidden="1" customHeight="1" x14ac:dyDescent="0.2">
      <c r="A185" s="9">
        <v>1</v>
      </c>
      <c r="B185" s="9" t="s">
        <v>70</v>
      </c>
      <c r="C185" s="9" t="s">
        <v>24</v>
      </c>
      <c r="D185" s="25">
        <v>4.4000000000000004</v>
      </c>
      <c r="E185" s="36">
        <v>6300</v>
      </c>
      <c r="F185" s="25">
        <v>27720</v>
      </c>
      <c r="G185" s="8"/>
      <c r="H185" s="8"/>
      <c r="I185" s="8"/>
    </row>
    <row r="186" spans="1:9" ht="13.5" hidden="1" customHeight="1" x14ac:dyDescent="0.2">
      <c r="A186" s="9">
        <v>2</v>
      </c>
      <c r="B186" s="9" t="s">
        <v>71</v>
      </c>
      <c r="C186" s="9" t="s">
        <v>24</v>
      </c>
      <c r="D186" s="25">
        <v>29.8</v>
      </c>
      <c r="E186" s="36">
        <v>7700</v>
      </c>
      <c r="F186" s="25">
        <v>229460</v>
      </c>
      <c r="G186" s="8"/>
      <c r="H186" s="8"/>
      <c r="I186" s="8"/>
    </row>
    <row r="187" spans="1:9" ht="13.5" hidden="1" customHeight="1" x14ac:dyDescent="0.2">
      <c r="A187" s="9">
        <v>3</v>
      </c>
      <c r="B187" s="9" t="s">
        <v>72</v>
      </c>
      <c r="C187" s="9" t="s">
        <v>17</v>
      </c>
      <c r="D187" s="25">
        <v>119</v>
      </c>
      <c r="E187" s="36">
        <v>168</v>
      </c>
      <c r="F187" s="25">
        <v>19992</v>
      </c>
      <c r="G187" s="8"/>
      <c r="H187" s="8"/>
      <c r="I187" s="8"/>
    </row>
    <row r="188" spans="1:9" ht="13.5" hidden="1" customHeight="1" x14ac:dyDescent="0.2">
      <c r="A188" s="9">
        <v>4</v>
      </c>
      <c r="B188" s="9" t="s">
        <v>73</v>
      </c>
      <c r="C188" s="9" t="s">
        <v>74</v>
      </c>
      <c r="D188" s="25">
        <v>3</v>
      </c>
      <c r="E188" s="36">
        <v>3500</v>
      </c>
      <c r="F188" s="25">
        <v>10500</v>
      </c>
      <c r="G188" s="8"/>
      <c r="H188" s="8"/>
      <c r="I188" s="8"/>
    </row>
    <row r="189" spans="1:9" ht="13.5" hidden="1" customHeight="1" x14ac:dyDescent="0.2">
      <c r="A189" s="9">
        <v>5</v>
      </c>
      <c r="B189" s="9" t="s">
        <v>220</v>
      </c>
      <c r="C189" s="9" t="s">
        <v>17</v>
      </c>
      <c r="D189" s="25">
        <v>140</v>
      </c>
      <c r="E189" s="36">
        <v>4200</v>
      </c>
      <c r="F189" s="25">
        <v>588000</v>
      </c>
      <c r="G189" s="8"/>
      <c r="H189" s="8"/>
      <c r="I189" s="8"/>
    </row>
    <row r="190" spans="1:9" ht="13.5" hidden="1" customHeight="1" x14ac:dyDescent="0.2">
      <c r="A190" s="9">
        <v>6</v>
      </c>
      <c r="B190" s="9" t="s">
        <v>75</v>
      </c>
      <c r="C190" s="9" t="s">
        <v>76</v>
      </c>
      <c r="D190" s="25">
        <v>4</v>
      </c>
      <c r="E190" s="36">
        <v>700</v>
      </c>
      <c r="F190" s="25">
        <v>2800</v>
      </c>
      <c r="G190" s="8"/>
      <c r="H190" s="8"/>
      <c r="I190" s="8"/>
    </row>
    <row r="191" spans="1:9" ht="13.5" hidden="1" customHeight="1" x14ac:dyDescent="0.2">
      <c r="A191" s="9">
        <v>7</v>
      </c>
      <c r="B191" s="9" t="s">
        <v>221</v>
      </c>
      <c r="C191" s="9" t="s">
        <v>74</v>
      </c>
      <c r="D191" s="25">
        <v>18.399999999999999</v>
      </c>
      <c r="E191" s="36">
        <v>700</v>
      </c>
      <c r="F191" s="25">
        <v>12880</v>
      </c>
      <c r="G191" s="8"/>
      <c r="H191" s="8"/>
      <c r="I191" s="8"/>
    </row>
    <row r="192" spans="1:9" ht="13.5" hidden="1" customHeight="1" x14ac:dyDescent="0.2">
      <c r="A192" s="11">
        <v>8</v>
      </c>
      <c r="B192" s="11" t="s">
        <v>77</v>
      </c>
      <c r="C192" s="11" t="s">
        <v>76</v>
      </c>
      <c r="D192" s="26">
        <v>2200</v>
      </c>
      <c r="E192" s="37">
        <v>103.6</v>
      </c>
      <c r="F192" s="26">
        <v>227920</v>
      </c>
    </row>
    <row r="193" spans="1:9" ht="13.5" hidden="1" customHeight="1" x14ac:dyDescent="0.2">
      <c r="A193" s="11">
        <v>9</v>
      </c>
      <c r="B193" s="11" t="s">
        <v>222</v>
      </c>
      <c r="C193" s="11" t="s">
        <v>76</v>
      </c>
      <c r="D193" s="26">
        <v>1584</v>
      </c>
      <c r="E193" s="37">
        <v>70</v>
      </c>
      <c r="F193" s="26">
        <v>110880</v>
      </c>
    </row>
    <row r="194" spans="1:9" ht="13.5" hidden="1" customHeight="1" x14ac:dyDescent="0.2">
      <c r="A194" s="11">
        <v>10</v>
      </c>
      <c r="B194" s="11" t="s">
        <v>223</v>
      </c>
      <c r="C194" s="11" t="s">
        <v>76</v>
      </c>
      <c r="D194" s="26">
        <v>3960</v>
      </c>
      <c r="E194" s="37">
        <v>58.8</v>
      </c>
      <c r="F194" s="26">
        <v>232848</v>
      </c>
    </row>
    <row r="195" spans="1:9" ht="13.5" hidden="1" customHeight="1" x14ac:dyDescent="0.2">
      <c r="A195" s="11">
        <v>11</v>
      </c>
      <c r="B195" s="11" t="s">
        <v>78</v>
      </c>
      <c r="C195" s="11" t="s">
        <v>76</v>
      </c>
      <c r="D195" s="26">
        <v>2368</v>
      </c>
      <c r="E195" s="37">
        <v>36.4</v>
      </c>
      <c r="F195" s="26">
        <v>86195.199999999997</v>
      </c>
    </row>
    <row r="196" spans="1:9" ht="13.5" hidden="1" customHeight="1" x14ac:dyDescent="0.2">
      <c r="A196" s="11">
        <v>12</v>
      </c>
      <c r="B196" s="11" t="s">
        <v>79</v>
      </c>
      <c r="C196" s="11" t="s">
        <v>80</v>
      </c>
      <c r="D196" s="26">
        <v>100</v>
      </c>
      <c r="E196" s="37">
        <v>770</v>
      </c>
      <c r="F196" s="26">
        <v>77000</v>
      </c>
    </row>
    <row r="197" spans="1:9" ht="13.5" hidden="1" customHeight="1" x14ac:dyDescent="0.2">
      <c r="A197" s="11">
        <v>13</v>
      </c>
      <c r="B197" s="11" t="s">
        <v>81</v>
      </c>
      <c r="C197" s="11" t="s">
        <v>76</v>
      </c>
      <c r="D197" s="26">
        <v>4</v>
      </c>
      <c r="E197" s="37">
        <v>1120</v>
      </c>
      <c r="F197" s="26">
        <v>4480</v>
      </c>
    </row>
    <row r="198" spans="1:9" ht="13.5" hidden="1" customHeight="1" x14ac:dyDescent="0.2">
      <c r="A198" s="11">
        <v>14</v>
      </c>
      <c r="B198" s="11" t="s">
        <v>82</v>
      </c>
      <c r="C198" s="11" t="s">
        <v>40</v>
      </c>
      <c r="D198" s="26">
        <v>0.3</v>
      </c>
      <c r="E198" s="37">
        <v>99400</v>
      </c>
      <c r="F198" s="26">
        <v>29820</v>
      </c>
    </row>
    <row r="199" spans="1:9" ht="13.5" hidden="1" customHeight="1" x14ac:dyDescent="0.2">
      <c r="A199" s="11">
        <v>15</v>
      </c>
      <c r="B199" s="11" t="s">
        <v>83</v>
      </c>
      <c r="C199" s="11" t="s">
        <v>40</v>
      </c>
      <c r="D199" s="26">
        <v>0.3</v>
      </c>
      <c r="E199" s="37">
        <v>99400</v>
      </c>
      <c r="F199" s="26">
        <v>29820</v>
      </c>
    </row>
    <row r="200" spans="1:9" ht="13.5" hidden="1" customHeight="1" x14ac:dyDescent="0.2">
      <c r="A200" s="11">
        <v>16</v>
      </c>
      <c r="B200" s="11" t="s">
        <v>46</v>
      </c>
      <c r="C200" s="11" t="s">
        <v>40</v>
      </c>
      <c r="D200" s="26">
        <v>35</v>
      </c>
      <c r="E200" s="37">
        <v>1560</v>
      </c>
      <c r="F200" s="26">
        <v>54600</v>
      </c>
    </row>
    <row r="201" spans="1:9" ht="13.5" hidden="1" customHeight="1" x14ac:dyDescent="0.2">
      <c r="A201" s="11">
        <v>17</v>
      </c>
      <c r="B201" s="11" t="s">
        <v>84</v>
      </c>
      <c r="C201" s="11" t="s">
        <v>85</v>
      </c>
      <c r="D201" s="26">
        <v>50</v>
      </c>
      <c r="E201" s="37">
        <v>3010</v>
      </c>
      <c r="F201" s="26">
        <v>150500</v>
      </c>
    </row>
    <row r="202" spans="1:9" ht="13.5" hidden="1" customHeight="1" x14ac:dyDescent="0.2">
      <c r="A202" s="11">
        <v>18</v>
      </c>
      <c r="B202" s="11" t="s">
        <v>86</v>
      </c>
      <c r="C202" s="11" t="s">
        <v>76</v>
      </c>
      <c r="D202" s="26">
        <v>140</v>
      </c>
      <c r="E202" s="37">
        <v>325</v>
      </c>
      <c r="F202" s="26">
        <v>45500</v>
      </c>
    </row>
    <row r="203" spans="1:9" ht="13.5" hidden="1" customHeight="1" x14ac:dyDescent="0.2">
      <c r="A203" s="11">
        <v>19</v>
      </c>
      <c r="B203" s="11" t="s">
        <v>87</v>
      </c>
      <c r="C203" s="11" t="s">
        <v>76</v>
      </c>
      <c r="D203" s="26">
        <v>6</v>
      </c>
      <c r="E203" s="37">
        <v>3640</v>
      </c>
      <c r="F203" s="26">
        <v>21840</v>
      </c>
    </row>
    <row r="204" spans="1:9" ht="13.5" hidden="1" customHeight="1" x14ac:dyDescent="0.2">
      <c r="A204" s="11">
        <v>20</v>
      </c>
      <c r="B204" s="11" t="s">
        <v>59</v>
      </c>
      <c r="C204" s="11" t="s">
        <v>57</v>
      </c>
      <c r="D204" s="26">
        <v>1</v>
      </c>
      <c r="E204" s="37">
        <v>39000</v>
      </c>
      <c r="F204" s="26">
        <v>39000</v>
      </c>
    </row>
    <row r="205" spans="1:9" ht="13.5" hidden="1" customHeight="1" x14ac:dyDescent="0.2">
      <c r="A205" s="7">
        <v>21</v>
      </c>
      <c r="B205" s="7" t="s">
        <v>2</v>
      </c>
      <c r="C205" s="7" t="s">
        <v>11</v>
      </c>
      <c r="D205" s="24">
        <v>1</v>
      </c>
      <c r="E205" s="35">
        <v>189600</v>
      </c>
      <c r="F205" s="24">
        <v>189600</v>
      </c>
    </row>
    <row r="206" spans="1:9" ht="13.5" hidden="1" customHeight="1" x14ac:dyDescent="0.2">
      <c r="A206" s="17" t="s">
        <v>224</v>
      </c>
      <c r="B206" s="18" t="s">
        <v>89</v>
      </c>
      <c r="C206" s="17" t="s">
        <v>69</v>
      </c>
      <c r="D206" s="28">
        <v>2</v>
      </c>
      <c r="E206" s="39">
        <v>30600</v>
      </c>
      <c r="F206" s="28">
        <v>61200</v>
      </c>
      <c r="G206" s="16"/>
      <c r="H206" s="16"/>
      <c r="I206" s="16"/>
    </row>
    <row r="207" spans="1:9" ht="13.5" hidden="1" customHeight="1" x14ac:dyDescent="0.2">
      <c r="A207" s="17" t="s">
        <v>225</v>
      </c>
      <c r="B207" s="18" t="s">
        <v>91</v>
      </c>
      <c r="C207" s="17" t="s">
        <v>69</v>
      </c>
      <c r="D207" s="28">
        <v>1</v>
      </c>
      <c r="E207" s="39">
        <v>48000</v>
      </c>
      <c r="F207" s="28">
        <v>48000</v>
      </c>
      <c r="G207" s="16"/>
      <c r="H207" s="16"/>
      <c r="I207" s="16"/>
    </row>
    <row r="208" spans="1:9" ht="13.5" hidden="1" customHeight="1" x14ac:dyDescent="0.2">
      <c r="A208" s="17" t="s">
        <v>226</v>
      </c>
      <c r="B208" s="18" t="s">
        <v>93</v>
      </c>
      <c r="C208" s="17" t="s">
        <v>69</v>
      </c>
      <c r="D208" s="28">
        <v>1</v>
      </c>
      <c r="E208" s="39">
        <v>36000</v>
      </c>
      <c r="F208" s="28">
        <v>36000</v>
      </c>
      <c r="G208" s="16"/>
      <c r="H208" s="16"/>
      <c r="I208" s="16"/>
    </row>
    <row r="209" spans="1:9" ht="13.5" hidden="1" customHeight="1" x14ac:dyDescent="0.2">
      <c r="A209" s="17" t="s">
        <v>227</v>
      </c>
      <c r="B209" s="18" t="s">
        <v>95</v>
      </c>
      <c r="C209" s="17" t="s">
        <v>69</v>
      </c>
      <c r="D209" s="28">
        <v>1</v>
      </c>
      <c r="E209" s="39">
        <v>8400</v>
      </c>
      <c r="F209" s="28">
        <v>8400</v>
      </c>
      <c r="G209" s="16"/>
      <c r="H209" s="16"/>
      <c r="I209" s="16"/>
    </row>
    <row r="210" spans="1:9" ht="13.5" hidden="1" customHeight="1" x14ac:dyDescent="0.2">
      <c r="A210" s="14" t="s">
        <v>228</v>
      </c>
      <c r="B210" s="15" t="s">
        <v>97</v>
      </c>
      <c r="C210" s="14" t="s">
        <v>62</v>
      </c>
      <c r="D210" s="27">
        <v>1</v>
      </c>
      <c r="E210" s="38">
        <v>36000</v>
      </c>
      <c r="F210" s="27">
        <v>36000</v>
      </c>
      <c r="G210" s="13"/>
      <c r="H210" s="13"/>
      <c r="I210" s="13"/>
    </row>
    <row r="211" spans="1:9" ht="16.95" hidden="1" customHeight="1" x14ac:dyDescent="0.2"/>
    <row r="212" spans="1:9" ht="13.5" hidden="1" customHeight="1" x14ac:dyDescent="0.2">
      <c r="A212" s="2"/>
      <c r="B212" s="2"/>
      <c r="C212" s="19" t="s">
        <v>98</v>
      </c>
      <c r="D212" s="29"/>
      <c r="E212" s="40"/>
      <c r="F212" s="29">
        <v>2191355.2000000002</v>
      </c>
    </row>
    <row r="213" spans="1:9" ht="13.5" hidden="1" customHeight="1" x14ac:dyDescent="0.2">
      <c r="C213" s="3" t="s">
        <v>99</v>
      </c>
      <c r="D213" s="30" t="s">
        <v>100</v>
      </c>
      <c r="F213" s="30">
        <v>891352</v>
      </c>
    </row>
    <row r="214" spans="1:9" ht="13.5" hidden="1" customHeight="1" x14ac:dyDescent="0.2">
      <c r="D214" s="30" t="s">
        <v>101</v>
      </c>
      <c r="F214" s="30">
        <v>1300003.2</v>
      </c>
    </row>
    <row r="215" spans="1:9" ht="11.4" hidden="1" x14ac:dyDescent="0.2">
      <c r="C215" s="19" t="s">
        <v>102</v>
      </c>
      <c r="D215" s="29"/>
      <c r="E215" s="40"/>
      <c r="F215" s="29">
        <v>2191355.2000000002</v>
      </c>
    </row>
    <row r="216" spans="1:9" ht="16.95" hidden="1" customHeight="1" x14ac:dyDescent="0.2"/>
    <row r="217" spans="1:9" ht="13.5" customHeight="1" x14ac:dyDescent="0.25">
      <c r="A217" s="4" t="s">
        <v>229</v>
      </c>
      <c r="D217" s="30" t="s">
        <v>24</v>
      </c>
      <c r="E217" s="33">
        <f>2555831.5/62.3</f>
        <v>41024.58266452649</v>
      </c>
    </row>
    <row r="218" spans="1:9" ht="13.5" hidden="1" customHeight="1" x14ac:dyDescent="0.2">
      <c r="A218" s="5" t="s">
        <v>5</v>
      </c>
      <c r="B218" s="5" t="s">
        <v>6</v>
      </c>
      <c r="C218" s="6" t="s">
        <v>7</v>
      </c>
      <c r="D218" s="23" t="s">
        <v>8</v>
      </c>
      <c r="E218" s="34" t="s">
        <v>9</v>
      </c>
      <c r="F218" s="23" t="s">
        <v>10</v>
      </c>
    </row>
    <row r="219" spans="1:9" ht="13.5" hidden="1" customHeight="1" x14ac:dyDescent="0.2">
      <c r="A219" s="9">
        <v>1</v>
      </c>
      <c r="B219" s="9" t="s">
        <v>230</v>
      </c>
      <c r="C219" s="9" t="s">
        <v>80</v>
      </c>
      <c r="D219" s="25">
        <v>40</v>
      </c>
      <c r="E219" s="36">
        <v>130</v>
      </c>
      <c r="F219" s="25">
        <v>5200</v>
      </c>
      <c r="G219" s="8"/>
      <c r="H219" s="8"/>
      <c r="I219" s="8"/>
    </row>
    <row r="220" spans="1:9" ht="13.5" hidden="1" customHeight="1" x14ac:dyDescent="0.2">
      <c r="A220" s="9">
        <v>2</v>
      </c>
      <c r="B220" s="9" t="s">
        <v>231</v>
      </c>
      <c r="C220" s="9" t="s">
        <v>24</v>
      </c>
      <c r="D220" s="25">
        <v>62.3</v>
      </c>
      <c r="E220" s="36">
        <v>5850</v>
      </c>
      <c r="F220" s="25">
        <v>364455</v>
      </c>
      <c r="G220" s="8"/>
      <c r="H220" s="8"/>
      <c r="I220" s="8"/>
    </row>
    <row r="221" spans="1:9" ht="13.5" hidden="1" customHeight="1" x14ac:dyDescent="0.2">
      <c r="A221" s="9">
        <v>3</v>
      </c>
      <c r="B221" s="9" t="s">
        <v>72</v>
      </c>
      <c r="C221" s="9" t="s">
        <v>17</v>
      </c>
      <c r="D221" s="25">
        <v>168</v>
      </c>
      <c r="E221" s="36">
        <v>156</v>
      </c>
      <c r="F221" s="25">
        <v>26208</v>
      </c>
      <c r="G221" s="8"/>
      <c r="H221" s="8"/>
      <c r="I221" s="8"/>
    </row>
    <row r="222" spans="1:9" ht="13.5" hidden="1" customHeight="1" x14ac:dyDescent="0.2">
      <c r="A222" s="9">
        <v>4</v>
      </c>
      <c r="B222" s="9" t="s">
        <v>220</v>
      </c>
      <c r="C222" s="9" t="s">
        <v>17</v>
      </c>
      <c r="D222" s="25">
        <v>168</v>
      </c>
      <c r="E222" s="36">
        <v>2990</v>
      </c>
      <c r="F222" s="25">
        <v>502320</v>
      </c>
      <c r="G222" s="8"/>
      <c r="H222" s="8"/>
      <c r="I222" s="8"/>
    </row>
    <row r="223" spans="1:9" ht="13.5" hidden="1" customHeight="1" x14ac:dyDescent="0.2">
      <c r="A223" s="9">
        <v>5</v>
      </c>
      <c r="B223" s="9" t="s">
        <v>232</v>
      </c>
      <c r="C223" s="9" t="s">
        <v>76</v>
      </c>
      <c r="D223" s="25">
        <v>9</v>
      </c>
      <c r="E223" s="36">
        <v>1690</v>
      </c>
      <c r="F223" s="25">
        <v>15210</v>
      </c>
      <c r="G223" s="8"/>
      <c r="H223" s="8"/>
      <c r="I223" s="8"/>
    </row>
    <row r="224" spans="1:9" ht="13.5" hidden="1" customHeight="1" x14ac:dyDescent="0.2">
      <c r="A224" s="9">
        <v>6</v>
      </c>
      <c r="B224" s="9" t="s">
        <v>221</v>
      </c>
      <c r="C224" s="9" t="s">
        <v>74</v>
      </c>
      <c r="D224" s="25">
        <v>21</v>
      </c>
      <c r="E224" s="36">
        <v>650</v>
      </c>
      <c r="F224" s="25">
        <v>13650</v>
      </c>
      <c r="G224" s="8"/>
      <c r="H224" s="8"/>
      <c r="I224" s="8"/>
    </row>
    <row r="225" spans="1:9" ht="13.5" hidden="1" customHeight="1" x14ac:dyDescent="0.2">
      <c r="A225" s="9">
        <v>7</v>
      </c>
      <c r="B225" s="9" t="s">
        <v>233</v>
      </c>
      <c r="C225" s="9" t="s">
        <v>76</v>
      </c>
      <c r="D225" s="25">
        <v>14</v>
      </c>
      <c r="E225" s="36">
        <v>3900</v>
      </c>
      <c r="F225" s="25">
        <v>54600</v>
      </c>
      <c r="G225" s="8"/>
      <c r="H225" s="8"/>
      <c r="I225" s="8"/>
    </row>
    <row r="226" spans="1:9" ht="13.5" hidden="1" customHeight="1" x14ac:dyDescent="0.2">
      <c r="A226" s="9">
        <v>8</v>
      </c>
      <c r="B226" s="9" t="s">
        <v>234</v>
      </c>
      <c r="C226" s="9" t="s">
        <v>76</v>
      </c>
      <c r="D226" s="25">
        <v>1</v>
      </c>
      <c r="E226" s="36">
        <v>3900</v>
      </c>
      <c r="F226" s="25">
        <v>3900</v>
      </c>
      <c r="G226" s="8"/>
      <c r="H226" s="8"/>
      <c r="I226" s="8"/>
    </row>
    <row r="227" spans="1:9" ht="13.5" hidden="1" customHeight="1" x14ac:dyDescent="0.2">
      <c r="A227" s="11">
        <v>9</v>
      </c>
      <c r="B227" s="11" t="s">
        <v>235</v>
      </c>
      <c r="C227" s="11" t="s">
        <v>76</v>
      </c>
      <c r="D227" s="26">
        <v>6</v>
      </c>
      <c r="E227" s="37">
        <v>1560</v>
      </c>
      <c r="F227" s="26">
        <v>9360</v>
      </c>
    </row>
    <row r="228" spans="1:9" ht="13.5" hidden="1" customHeight="1" x14ac:dyDescent="0.2">
      <c r="A228" s="11">
        <v>10</v>
      </c>
      <c r="B228" s="11" t="s">
        <v>236</v>
      </c>
      <c r="C228" s="11" t="s">
        <v>76</v>
      </c>
      <c r="D228" s="26">
        <v>15400</v>
      </c>
      <c r="E228" s="37">
        <v>32.5</v>
      </c>
      <c r="F228" s="26">
        <v>500500</v>
      </c>
    </row>
    <row r="229" spans="1:9" ht="13.5" hidden="1" customHeight="1" x14ac:dyDescent="0.2">
      <c r="A229" s="11">
        <v>11</v>
      </c>
      <c r="B229" s="11" t="s">
        <v>237</v>
      </c>
      <c r="C229" s="11" t="s">
        <v>76</v>
      </c>
      <c r="D229" s="26">
        <v>12000</v>
      </c>
      <c r="E229" s="37">
        <v>45.1</v>
      </c>
      <c r="F229" s="26">
        <v>541200</v>
      </c>
    </row>
    <row r="230" spans="1:9" ht="13.5" hidden="1" customHeight="1" x14ac:dyDescent="0.2">
      <c r="A230" s="11">
        <v>12</v>
      </c>
      <c r="B230" s="11" t="s">
        <v>213</v>
      </c>
      <c r="C230" s="11" t="s">
        <v>214</v>
      </c>
      <c r="D230" s="26">
        <v>30</v>
      </c>
      <c r="E230" s="37">
        <v>2750</v>
      </c>
      <c r="F230" s="26">
        <v>82500</v>
      </c>
    </row>
    <row r="231" spans="1:9" ht="13.5" hidden="1" customHeight="1" x14ac:dyDescent="0.2">
      <c r="A231" s="11">
        <v>13</v>
      </c>
      <c r="B231" s="11" t="s">
        <v>79</v>
      </c>
      <c r="C231" s="11" t="s">
        <v>80</v>
      </c>
      <c r="D231" s="26">
        <v>170</v>
      </c>
      <c r="E231" s="37">
        <v>585</v>
      </c>
      <c r="F231" s="26">
        <v>99450</v>
      </c>
    </row>
    <row r="232" spans="1:9" ht="13.5" hidden="1" customHeight="1" x14ac:dyDescent="0.2">
      <c r="A232" s="11">
        <v>14</v>
      </c>
      <c r="B232" s="11" t="s">
        <v>238</v>
      </c>
      <c r="C232" s="11" t="s">
        <v>76</v>
      </c>
      <c r="D232" s="26">
        <v>16</v>
      </c>
      <c r="E232" s="37">
        <v>1131</v>
      </c>
      <c r="F232" s="26">
        <v>18096</v>
      </c>
    </row>
    <row r="233" spans="1:9" ht="13.5" hidden="1" customHeight="1" x14ac:dyDescent="0.2">
      <c r="A233" s="11">
        <v>15</v>
      </c>
      <c r="B233" s="11" t="s">
        <v>239</v>
      </c>
      <c r="C233" s="11" t="s">
        <v>76</v>
      </c>
      <c r="D233" s="26">
        <v>2</v>
      </c>
      <c r="E233" s="37">
        <v>1573</v>
      </c>
      <c r="F233" s="26">
        <v>3146</v>
      </c>
    </row>
    <row r="234" spans="1:9" ht="13.5" hidden="1" customHeight="1" x14ac:dyDescent="0.2">
      <c r="A234" s="11">
        <v>16</v>
      </c>
      <c r="B234" s="11" t="s">
        <v>240</v>
      </c>
      <c r="C234" s="11" t="s">
        <v>40</v>
      </c>
      <c r="D234" s="26">
        <v>0.26</v>
      </c>
      <c r="E234" s="37">
        <v>75400</v>
      </c>
      <c r="F234" s="26">
        <v>19604</v>
      </c>
    </row>
    <row r="235" spans="1:9" ht="13.5" hidden="1" customHeight="1" x14ac:dyDescent="0.2">
      <c r="A235" s="11">
        <v>17</v>
      </c>
      <c r="B235" s="11" t="s">
        <v>46</v>
      </c>
      <c r="C235" s="11" t="s">
        <v>40</v>
      </c>
      <c r="D235" s="26">
        <v>50</v>
      </c>
      <c r="E235" s="37">
        <v>1250</v>
      </c>
      <c r="F235" s="26">
        <v>62500</v>
      </c>
    </row>
    <row r="236" spans="1:9" ht="13.5" hidden="1" customHeight="1" x14ac:dyDescent="0.2">
      <c r="A236" s="11">
        <v>18</v>
      </c>
      <c r="B236" s="11" t="s">
        <v>241</v>
      </c>
      <c r="C236" s="11" t="s">
        <v>76</v>
      </c>
      <c r="D236" s="26">
        <v>95</v>
      </c>
      <c r="E236" s="37">
        <v>253.5</v>
      </c>
      <c r="F236" s="26">
        <v>24082.5</v>
      </c>
    </row>
    <row r="237" spans="1:9" ht="13.5" hidden="1" customHeight="1" x14ac:dyDescent="0.2">
      <c r="A237" s="11">
        <v>19</v>
      </c>
      <c r="B237" s="11" t="s">
        <v>242</v>
      </c>
      <c r="C237" s="11" t="s">
        <v>76</v>
      </c>
      <c r="D237" s="26">
        <v>3</v>
      </c>
      <c r="E237" s="37">
        <v>7150</v>
      </c>
      <c r="F237" s="26">
        <v>21450</v>
      </c>
    </row>
    <row r="238" spans="1:9" ht="13.5" hidden="1" customHeight="1" x14ac:dyDescent="0.2">
      <c r="A238" s="11">
        <v>20</v>
      </c>
      <c r="B238" s="11" t="s">
        <v>59</v>
      </c>
      <c r="C238" s="11" t="s">
        <v>57</v>
      </c>
      <c r="D238" s="26">
        <v>1</v>
      </c>
      <c r="E238" s="37">
        <v>36000</v>
      </c>
      <c r="F238" s="26">
        <v>36000</v>
      </c>
    </row>
    <row r="239" spans="1:9" ht="13.5" hidden="1" customHeight="1" x14ac:dyDescent="0.2">
      <c r="A239" s="17">
        <v>21</v>
      </c>
      <c r="B239" s="17" t="s">
        <v>91</v>
      </c>
      <c r="C239" s="17" t="s">
        <v>69</v>
      </c>
      <c r="D239" s="28">
        <v>1</v>
      </c>
      <c r="E239" s="39">
        <v>48000</v>
      </c>
      <c r="F239" s="28">
        <v>48000</v>
      </c>
      <c r="G239" s="16"/>
      <c r="H239" s="16"/>
      <c r="I239" s="16"/>
    </row>
    <row r="240" spans="1:9" ht="13.5" hidden="1" customHeight="1" x14ac:dyDescent="0.2">
      <c r="A240" s="17">
        <v>22</v>
      </c>
      <c r="B240" s="17" t="s">
        <v>93</v>
      </c>
      <c r="C240" s="17" t="s">
        <v>69</v>
      </c>
      <c r="D240" s="28">
        <v>1</v>
      </c>
      <c r="E240" s="39">
        <v>60000</v>
      </c>
      <c r="F240" s="28">
        <v>60000</v>
      </c>
      <c r="G240" s="16"/>
      <c r="H240" s="16"/>
      <c r="I240" s="16"/>
    </row>
    <row r="241" spans="1:9" ht="13.5" hidden="1" customHeight="1" x14ac:dyDescent="0.2">
      <c r="A241" s="17">
        <v>23</v>
      </c>
      <c r="B241" s="17" t="s">
        <v>95</v>
      </c>
      <c r="C241" s="17" t="s">
        <v>69</v>
      </c>
      <c r="D241" s="28">
        <v>1</v>
      </c>
      <c r="E241" s="39">
        <v>8400</v>
      </c>
      <c r="F241" s="28">
        <v>8400</v>
      </c>
      <c r="G241" s="16"/>
      <c r="H241" s="16"/>
      <c r="I241" s="16"/>
    </row>
    <row r="242" spans="1:9" ht="13.5" hidden="1" customHeight="1" x14ac:dyDescent="0.2">
      <c r="A242" s="14">
        <v>24</v>
      </c>
      <c r="B242" s="14" t="s">
        <v>97</v>
      </c>
      <c r="C242" s="14" t="s">
        <v>62</v>
      </c>
      <c r="D242" s="27">
        <v>1</v>
      </c>
      <c r="E242" s="38">
        <v>36000</v>
      </c>
      <c r="F242" s="27">
        <v>36000</v>
      </c>
      <c r="G242" s="13"/>
      <c r="H242" s="13"/>
      <c r="I242" s="13"/>
    </row>
    <row r="243" spans="1:9" ht="16.95" hidden="1" customHeight="1" x14ac:dyDescent="0.2"/>
    <row r="244" spans="1:9" ht="13.5" hidden="1" customHeight="1" x14ac:dyDescent="0.2">
      <c r="A244" s="2"/>
      <c r="B244" s="2"/>
      <c r="C244" s="19" t="s">
        <v>98</v>
      </c>
      <c r="D244" s="29"/>
      <c r="E244" s="40"/>
      <c r="F244" s="29">
        <v>2555831.5</v>
      </c>
    </row>
    <row r="245" spans="1:9" ht="13.5" hidden="1" customHeight="1" x14ac:dyDescent="0.2">
      <c r="C245" s="3" t="s">
        <v>99</v>
      </c>
      <c r="D245" s="30" t="s">
        <v>100</v>
      </c>
      <c r="F245" s="30">
        <v>985543</v>
      </c>
    </row>
    <row r="246" spans="1:9" ht="13.5" hidden="1" customHeight="1" x14ac:dyDescent="0.2">
      <c r="D246" s="30" t="s">
        <v>101</v>
      </c>
      <c r="F246" s="30">
        <v>1570288.5</v>
      </c>
    </row>
    <row r="247" spans="1:9" ht="11.4" hidden="1" x14ac:dyDescent="0.2">
      <c r="C247" s="19" t="s">
        <v>102</v>
      </c>
      <c r="D247" s="29"/>
      <c r="E247" s="40"/>
      <c r="F247" s="29">
        <v>2555831.5</v>
      </c>
    </row>
    <row r="248" spans="1:9" ht="16.95" hidden="1" customHeight="1" x14ac:dyDescent="0.2"/>
    <row r="249" spans="1:9" ht="16.95" customHeight="1" x14ac:dyDescent="0.2">
      <c r="A249" t="s">
        <v>441</v>
      </c>
      <c r="D249" s="30" t="s">
        <v>24</v>
      </c>
      <c r="E249" s="33" t="s">
        <v>440</v>
      </c>
    </row>
    <row r="250" spans="1:9" ht="13.5" customHeight="1" x14ac:dyDescent="0.25">
      <c r="A250" s="4" t="s">
        <v>243</v>
      </c>
      <c r="D250" s="30" t="s">
        <v>17</v>
      </c>
      <c r="E250" s="33">
        <f>F276/275</f>
        <v>6098.7454545454548</v>
      </c>
    </row>
    <row r="251" spans="1:9" ht="13.5" hidden="1" customHeight="1" x14ac:dyDescent="0.2">
      <c r="A251" s="5" t="s">
        <v>5</v>
      </c>
      <c r="B251" s="5" t="s">
        <v>6</v>
      </c>
      <c r="C251" s="6" t="s">
        <v>7</v>
      </c>
      <c r="D251" s="23" t="s">
        <v>8</v>
      </c>
      <c r="E251" s="34" t="s">
        <v>9</v>
      </c>
      <c r="F251" s="23" t="s">
        <v>10</v>
      </c>
    </row>
    <row r="252" spans="1:9" ht="13.5" hidden="1" customHeight="1" x14ac:dyDescent="0.2">
      <c r="A252" s="9">
        <v>1</v>
      </c>
      <c r="B252" s="9" t="s">
        <v>244</v>
      </c>
      <c r="C252" s="9" t="s">
        <v>17</v>
      </c>
      <c r="D252" s="25">
        <v>275</v>
      </c>
      <c r="E252" s="36">
        <v>1300</v>
      </c>
      <c r="F252" s="25">
        <v>357500</v>
      </c>
      <c r="G252" s="8"/>
      <c r="H252" s="8"/>
      <c r="I252" s="8"/>
    </row>
    <row r="253" spans="1:9" ht="13.5" hidden="1" customHeight="1" x14ac:dyDescent="0.2">
      <c r="A253" s="9">
        <v>2</v>
      </c>
      <c r="B253" s="9" t="s">
        <v>245</v>
      </c>
      <c r="C253" s="9" t="s">
        <v>17</v>
      </c>
      <c r="D253" s="25">
        <v>275</v>
      </c>
      <c r="E253" s="36">
        <v>455</v>
      </c>
      <c r="F253" s="25">
        <v>125125</v>
      </c>
      <c r="G253" s="8"/>
      <c r="H253" s="8"/>
      <c r="I253" s="8"/>
    </row>
    <row r="254" spans="1:9" ht="13.5" hidden="1" customHeight="1" x14ac:dyDescent="0.2">
      <c r="A254" s="9">
        <v>3</v>
      </c>
      <c r="B254" s="9" t="s">
        <v>198</v>
      </c>
      <c r="C254" s="9" t="s">
        <v>17</v>
      </c>
      <c r="D254" s="25">
        <v>275</v>
      </c>
      <c r="E254" s="36">
        <v>195</v>
      </c>
      <c r="F254" s="25">
        <v>53625</v>
      </c>
      <c r="G254" s="8"/>
      <c r="H254" s="8"/>
      <c r="I254" s="8"/>
    </row>
    <row r="255" spans="1:9" ht="13.5" hidden="1" customHeight="1" x14ac:dyDescent="0.2">
      <c r="A255" s="9">
        <v>4</v>
      </c>
      <c r="B255" s="9" t="s">
        <v>246</v>
      </c>
      <c r="C255" s="9" t="s">
        <v>17</v>
      </c>
      <c r="D255" s="25">
        <v>175</v>
      </c>
      <c r="E255" s="36">
        <v>169</v>
      </c>
      <c r="F255" s="25">
        <v>29575</v>
      </c>
      <c r="G255" s="8"/>
      <c r="H255" s="8"/>
      <c r="I255" s="8"/>
    </row>
    <row r="256" spans="1:9" ht="13.5" hidden="1" customHeight="1" x14ac:dyDescent="0.2">
      <c r="A256" s="9">
        <v>5</v>
      </c>
      <c r="B256" s="9" t="s">
        <v>247</v>
      </c>
      <c r="C256" s="9" t="s">
        <v>17</v>
      </c>
      <c r="D256" s="25">
        <v>469</v>
      </c>
      <c r="E256" s="36">
        <v>455</v>
      </c>
      <c r="F256" s="25">
        <v>213395</v>
      </c>
      <c r="G256" s="8"/>
      <c r="H256" s="8"/>
      <c r="I256" s="8"/>
    </row>
    <row r="257" spans="1:9" ht="13.5" hidden="1" customHeight="1" x14ac:dyDescent="0.2">
      <c r="A257" s="9">
        <v>6</v>
      </c>
      <c r="B257" s="9" t="s">
        <v>248</v>
      </c>
      <c r="C257" s="9" t="s">
        <v>17</v>
      </c>
      <c r="D257" s="25">
        <v>175</v>
      </c>
      <c r="E257" s="36">
        <v>455</v>
      </c>
      <c r="F257" s="25">
        <v>79625</v>
      </c>
      <c r="G257" s="8"/>
      <c r="H257" s="8"/>
      <c r="I257" s="8"/>
    </row>
    <row r="258" spans="1:9" ht="13.5" hidden="1" customHeight="1" x14ac:dyDescent="0.2">
      <c r="A258" s="9">
        <v>7</v>
      </c>
      <c r="B258" s="9" t="s">
        <v>249</v>
      </c>
      <c r="C258" s="9" t="s">
        <v>17</v>
      </c>
      <c r="D258" s="25">
        <v>40</v>
      </c>
      <c r="E258" s="36">
        <v>1170</v>
      </c>
      <c r="F258" s="25">
        <v>46800</v>
      </c>
      <c r="G258" s="8"/>
      <c r="H258" s="8"/>
      <c r="I258" s="8"/>
    </row>
    <row r="259" spans="1:9" ht="13.5" hidden="1" customHeight="1" x14ac:dyDescent="0.2">
      <c r="A259" s="9">
        <v>8</v>
      </c>
      <c r="B259" s="9" t="s">
        <v>250</v>
      </c>
      <c r="C259" s="9" t="s">
        <v>17</v>
      </c>
      <c r="D259" s="25">
        <v>290</v>
      </c>
      <c r="E259" s="36">
        <v>65</v>
      </c>
      <c r="F259" s="25">
        <v>18850</v>
      </c>
      <c r="G259" s="8"/>
      <c r="H259" s="8"/>
      <c r="I259" s="8"/>
    </row>
    <row r="260" spans="1:9" ht="13.5" hidden="1" customHeight="1" x14ac:dyDescent="0.2">
      <c r="A260" s="7">
        <v>9</v>
      </c>
      <c r="B260" s="7" t="s">
        <v>1</v>
      </c>
      <c r="C260" s="7" t="s">
        <v>11</v>
      </c>
      <c r="D260" s="24">
        <v>1</v>
      </c>
      <c r="E260" s="35">
        <v>708660</v>
      </c>
      <c r="F260" s="24">
        <v>708660</v>
      </c>
    </row>
    <row r="261" spans="1:9" ht="13.5" hidden="1" customHeight="1" x14ac:dyDescent="0.2">
      <c r="A261" s="11" t="s">
        <v>251</v>
      </c>
      <c r="B261" s="12" t="s">
        <v>252</v>
      </c>
      <c r="C261" s="11" t="s">
        <v>24</v>
      </c>
      <c r="D261" s="26">
        <v>9.1</v>
      </c>
      <c r="E261" s="37">
        <v>28800</v>
      </c>
      <c r="F261" s="26">
        <v>262080</v>
      </c>
    </row>
    <row r="262" spans="1:9" ht="13.5" hidden="1" customHeight="1" x14ac:dyDescent="0.2">
      <c r="A262" s="11" t="s">
        <v>253</v>
      </c>
      <c r="B262" s="12" t="s">
        <v>254</v>
      </c>
      <c r="C262" s="11" t="s">
        <v>24</v>
      </c>
      <c r="D262" s="26">
        <v>1</v>
      </c>
      <c r="E262" s="37">
        <v>28800</v>
      </c>
      <c r="F262" s="26">
        <v>28800</v>
      </c>
    </row>
    <row r="263" spans="1:9" ht="13.5" hidden="1" customHeight="1" x14ac:dyDescent="0.2">
      <c r="A263" s="11" t="s">
        <v>255</v>
      </c>
      <c r="B263" s="12" t="s">
        <v>256</v>
      </c>
      <c r="C263" s="11" t="s">
        <v>24</v>
      </c>
      <c r="D263" s="26">
        <v>1.1000000000000001</v>
      </c>
      <c r="E263" s="37">
        <v>28800</v>
      </c>
      <c r="F263" s="26">
        <v>31680</v>
      </c>
    </row>
    <row r="264" spans="1:9" ht="13.5" hidden="1" customHeight="1" x14ac:dyDescent="0.2">
      <c r="A264" s="11" t="s">
        <v>257</v>
      </c>
      <c r="B264" s="12" t="s">
        <v>258</v>
      </c>
      <c r="C264" s="11" t="s">
        <v>24</v>
      </c>
      <c r="D264" s="26">
        <v>1.9</v>
      </c>
      <c r="E264" s="37">
        <v>42600</v>
      </c>
      <c r="F264" s="26">
        <v>80940</v>
      </c>
    </row>
    <row r="265" spans="1:9" ht="13.5" hidden="1" customHeight="1" x14ac:dyDescent="0.2">
      <c r="A265" s="11" t="s">
        <v>259</v>
      </c>
      <c r="B265" s="12" t="s">
        <v>213</v>
      </c>
      <c r="C265" s="11" t="s">
        <v>214</v>
      </c>
      <c r="D265" s="26">
        <v>80</v>
      </c>
      <c r="E265" s="37">
        <v>2640</v>
      </c>
      <c r="F265" s="26">
        <v>211200</v>
      </c>
    </row>
    <row r="266" spans="1:9" ht="13.5" hidden="1" customHeight="1" x14ac:dyDescent="0.2">
      <c r="A266" s="11" t="s">
        <v>260</v>
      </c>
      <c r="B266" s="12" t="s">
        <v>216</v>
      </c>
      <c r="C266" s="11" t="s">
        <v>52</v>
      </c>
      <c r="D266" s="26">
        <v>6</v>
      </c>
      <c r="E266" s="37">
        <v>2730</v>
      </c>
      <c r="F266" s="26">
        <v>16380</v>
      </c>
    </row>
    <row r="267" spans="1:9" ht="13.5" hidden="1" customHeight="1" x14ac:dyDescent="0.2">
      <c r="A267" s="11" t="s">
        <v>261</v>
      </c>
      <c r="B267" s="12" t="s">
        <v>262</v>
      </c>
      <c r="C267" s="11" t="s">
        <v>52</v>
      </c>
      <c r="D267" s="26">
        <v>5</v>
      </c>
      <c r="E267" s="37">
        <v>2100</v>
      </c>
      <c r="F267" s="26">
        <v>10500</v>
      </c>
    </row>
    <row r="268" spans="1:9" ht="13.5" hidden="1" customHeight="1" x14ac:dyDescent="0.2">
      <c r="A268" s="11" t="s">
        <v>263</v>
      </c>
      <c r="B268" s="12" t="s">
        <v>264</v>
      </c>
      <c r="C268" s="11" t="s">
        <v>52</v>
      </c>
      <c r="D268" s="26">
        <v>4</v>
      </c>
      <c r="E268" s="37">
        <v>5520</v>
      </c>
      <c r="F268" s="26">
        <v>22080</v>
      </c>
    </row>
    <row r="269" spans="1:9" ht="13.5" hidden="1" customHeight="1" x14ac:dyDescent="0.2">
      <c r="A269" s="11" t="s">
        <v>265</v>
      </c>
      <c r="B269" s="12" t="s">
        <v>174</v>
      </c>
      <c r="C269" s="11" t="s">
        <v>175</v>
      </c>
      <c r="D269" s="26">
        <v>25</v>
      </c>
      <c r="E269" s="37">
        <v>1800</v>
      </c>
      <c r="F269" s="26">
        <v>45000</v>
      </c>
    </row>
    <row r="270" spans="1:9" ht="13.5" hidden="1" customHeight="1" x14ac:dyDescent="0.2">
      <c r="A270" s="7">
        <v>10</v>
      </c>
      <c r="B270" s="7" t="s">
        <v>2</v>
      </c>
      <c r="C270" s="7" t="s">
        <v>69</v>
      </c>
      <c r="D270" s="24">
        <v>1</v>
      </c>
      <c r="E270" s="35">
        <v>44000</v>
      </c>
      <c r="F270" s="24">
        <v>44000</v>
      </c>
    </row>
    <row r="271" spans="1:9" ht="13.5" hidden="1" customHeight="1" x14ac:dyDescent="0.2">
      <c r="A271" s="17" t="s">
        <v>266</v>
      </c>
      <c r="B271" s="18" t="s">
        <v>267</v>
      </c>
      <c r="C271" s="17" t="s">
        <v>69</v>
      </c>
      <c r="D271" s="28">
        <v>1</v>
      </c>
      <c r="E271" s="39">
        <v>44000</v>
      </c>
      <c r="F271" s="28">
        <v>44000</v>
      </c>
      <c r="G271" s="16"/>
      <c r="H271" s="16"/>
      <c r="I271" s="16"/>
    </row>
    <row r="272" spans="1:9" ht="16.95" hidden="1" customHeight="1" x14ac:dyDescent="0.2"/>
    <row r="273" spans="1:9" ht="13.5" hidden="1" customHeight="1" x14ac:dyDescent="0.2">
      <c r="A273" s="2"/>
      <c r="B273" s="2"/>
      <c r="C273" s="19" t="s">
        <v>98</v>
      </c>
      <c r="D273" s="29"/>
      <c r="E273" s="40"/>
      <c r="F273" s="29">
        <v>1677155</v>
      </c>
    </row>
    <row r="274" spans="1:9" ht="13.5" hidden="1" customHeight="1" x14ac:dyDescent="0.2">
      <c r="C274" s="3" t="s">
        <v>99</v>
      </c>
      <c r="D274" s="30" t="s">
        <v>100</v>
      </c>
      <c r="F274" s="30">
        <v>924495</v>
      </c>
    </row>
    <row r="275" spans="1:9" ht="13.5" hidden="1" customHeight="1" x14ac:dyDescent="0.2">
      <c r="D275" s="30" t="s">
        <v>101</v>
      </c>
      <c r="F275" s="30">
        <v>752660</v>
      </c>
    </row>
    <row r="276" spans="1:9" ht="11.4" hidden="1" x14ac:dyDescent="0.2">
      <c r="C276" s="19" t="s">
        <v>102</v>
      </c>
      <c r="D276" s="29"/>
      <c r="E276" s="40"/>
      <c r="F276" s="29">
        <v>1677155</v>
      </c>
    </row>
    <row r="277" spans="1:9" ht="16.95" hidden="1" customHeight="1" x14ac:dyDescent="0.2"/>
    <row r="278" spans="1:9" ht="16.95" customHeight="1" x14ac:dyDescent="0.25">
      <c r="A278" s="4" t="s">
        <v>442</v>
      </c>
      <c r="D278" s="30" t="s">
        <v>17</v>
      </c>
      <c r="E278" s="33" t="s">
        <v>440</v>
      </c>
    </row>
    <row r="279" spans="1:9" ht="13.5" customHeight="1" x14ac:dyDescent="0.25">
      <c r="A279" s="4" t="s">
        <v>268</v>
      </c>
      <c r="D279" s="30" t="s">
        <v>24</v>
      </c>
      <c r="E279" s="33">
        <f>F297/36.56</f>
        <v>78360.694748358859</v>
      </c>
    </row>
    <row r="280" spans="1:9" ht="13.5" hidden="1" customHeight="1" x14ac:dyDescent="0.2">
      <c r="A280" s="5" t="s">
        <v>5</v>
      </c>
      <c r="B280" s="5" t="s">
        <v>6</v>
      </c>
      <c r="C280" s="6" t="s">
        <v>7</v>
      </c>
      <c r="D280" s="23" t="s">
        <v>8</v>
      </c>
      <c r="E280" s="34" t="s">
        <v>9</v>
      </c>
      <c r="F280" s="23" t="s">
        <v>10</v>
      </c>
    </row>
    <row r="281" spans="1:9" ht="13.5" hidden="1" customHeight="1" x14ac:dyDescent="0.2">
      <c r="A281" s="9">
        <v>1</v>
      </c>
      <c r="B281" s="9" t="s">
        <v>269</v>
      </c>
      <c r="C281" s="9" t="s">
        <v>24</v>
      </c>
      <c r="D281" s="25">
        <v>36.56</v>
      </c>
      <c r="E281" s="36">
        <v>8800</v>
      </c>
      <c r="F281" s="25">
        <v>321728</v>
      </c>
      <c r="G281" s="8"/>
      <c r="H281" s="8"/>
      <c r="I281" s="8"/>
    </row>
    <row r="282" spans="1:9" ht="13.5" hidden="1" customHeight="1" x14ac:dyDescent="0.2">
      <c r="A282" s="9">
        <v>2</v>
      </c>
      <c r="B282" s="9" t="s">
        <v>270</v>
      </c>
      <c r="C282" s="9" t="s">
        <v>76</v>
      </c>
      <c r="D282" s="25">
        <v>70</v>
      </c>
      <c r="E282" s="36">
        <v>480</v>
      </c>
      <c r="F282" s="25">
        <v>33600</v>
      </c>
      <c r="G282" s="8"/>
      <c r="H282" s="8"/>
      <c r="I282" s="8"/>
    </row>
    <row r="283" spans="1:9" ht="13.5" hidden="1" customHeight="1" x14ac:dyDescent="0.2">
      <c r="A283" s="11">
        <v>3</v>
      </c>
      <c r="B283" s="11" t="s">
        <v>271</v>
      </c>
      <c r="C283" s="11" t="s">
        <v>24</v>
      </c>
      <c r="D283" s="26">
        <v>36.56</v>
      </c>
      <c r="E283" s="37">
        <v>57200</v>
      </c>
      <c r="F283" s="26">
        <v>2091232</v>
      </c>
    </row>
    <row r="284" spans="1:9" ht="13.5" hidden="1" customHeight="1" x14ac:dyDescent="0.2">
      <c r="A284" s="11">
        <v>4</v>
      </c>
      <c r="B284" s="11" t="s">
        <v>258</v>
      </c>
      <c r="C284" s="11" t="s">
        <v>24</v>
      </c>
      <c r="D284" s="26">
        <v>0.3</v>
      </c>
      <c r="E284" s="37">
        <v>46150</v>
      </c>
      <c r="F284" s="26">
        <v>13845</v>
      </c>
    </row>
    <row r="285" spans="1:9" ht="13.5" hidden="1" customHeight="1" x14ac:dyDescent="0.2">
      <c r="A285" s="11">
        <v>5</v>
      </c>
      <c r="B285" s="11" t="s">
        <v>272</v>
      </c>
      <c r="C285" s="11" t="s">
        <v>17</v>
      </c>
      <c r="D285" s="26">
        <v>65</v>
      </c>
      <c r="E285" s="37">
        <v>1690</v>
      </c>
      <c r="F285" s="26">
        <v>109850</v>
      </c>
    </row>
    <row r="286" spans="1:9" ht="13.5" hidden="1" customHeight="1" x14ac:dyDescent="0.2">
      <c r="A286" s="11">
        <v>6</v>
      </c>
      <c r="B286" s="11" t="s">
        <v>273</v>
      </c>
      <c r="C286" s="11" t="s">
        <v>76</v>
      </c>
      <c r="D286" s="26">
        <v>90</v>
      </c>
      <c r="E286" s="37">
        <v>319.8</v>
      </c>
      <c r="F286" s="26">
        <v>28782</v>
      </c>
    </row>
    <row r="287" spans="1:9" ht="13.5" hidden="1" customHeight="1" x14ac:dyDescent="0.2">
      <c r="A287" s="11">
        <v>7</v>
      </c>
      <c r="B287" s="11" t="s">
        <v>177</v>
      </c>
      <c r="C287" s="11" t="s">
        <v>52</v>
      </c>
      <c r="D287" s="26">
        <v>20</v>
      </c>
      <c r="E287" s="37">
        <v>884</v>
      </c>
      <c r="F287" s="26">
        <v>17680</v>
      </c>
    </row>
    <row r="288" spans="1:9" ht="13.5" hidden="1" customHeight="1" x14ac:dyDescent="0.2">
      <c r="A288" s="11">
        <v>8</v>
      </c>
      <c r="B288" s="11" t="s">
        <v>176</v>
      </c>
      <c r="C288" s="11" t="s">
        <v>76</v>
      </c>
      <c r="D288" s="26">
        <v>25</v>
      </c>
      <c r="E288" s="37">
        <v>806</v>
      </c>
      <c r="F288" s="26">
        <v>20150</v>
      </c>
    </row>
    <row r="289" spans="1:9" ht="13.5" hidden="1" customHeight="1" x14ac:dyDescent="0.2">
      <c r="A289" s="7">
        <v>9</v>
      </c>
      <c r="B289" s="7" t="s">
        <v>186</v>
      </c>
      <c r="C289" s="7" t="s">
        <v>11</v>
      </c>
      <c r="D289" s="24">
        <v>1</v>
      </c>
      <c r="E289" s="35">
        <v>228000</v>
      </c>
      <c r="F289" s="24">
        <v>228000</v>
      </c>
    </row>
    <row r="290" spans="1:9" ht="13.5" hidden="1" customHeight="1" x14ac:dyDescent="0.2">
      <c r="A290" s="17" t="s">
        <v>251</v>
      </c>
      <c r="B290" s="18" t="s">
        <v>274</v>
      </c>
      <c r="C290" s="17" t="s">
        <v>275</v>
      </c>
      <c r="D290" s="28">
        <v>2</v>
      </c>
      <c r="E290" s="39">
        <v>60000</v>
      </c>
      <c r="F290" s="28">
        <v>120000</v>
      </c>
      <c r="G290" s="16"/>
      <c r="H290" s="16"/>
      <c r="I290" s="16"/>
    </row>
    <row r="291" spans="1:9" ht="13.5" hidden="1" customHeight="1" x14ac:dyDescent="0.2">
      <c r="A291" s="14" t="s">
        <v>253</v>
      </c>
      <c r="B291" s="15" t="s">
        <v>97</v>
      </c>
      <c r="C291" s="14" t="s">
        <v>62</v>
      </c>
      <c r="D291" s="27">
        <v>2</v>
      </c>
      <c r="E291" s="38">
        <v>36000</v>
      </c>
      <c r="F291" s="27">
        <v>72000</v>
      </c>
      <c r="G291" s="13"/>
      <c r="H291" s="13"/>
      <c r="I291" s="13"/>
    </row>
    <row r="292" spans="1:9" ht="13.5" hidden="1" customHeight="1" x14ac:dyDescent="0.2">
      <c r="A292" s="14" t="s">
        <v>255</v>
      </c>
      <c r="B292" s="15" t="s">
        <v>276</v>
      </c>
      <c r="C292" s="14" t="s">
        <v>62</v>
      </c>
      <c r="D292" s="27">
        <v>1</v>
      </c>
      <c r="E292" s="38">
        <v>36000</v>
      </c>
      <c r="F292" s="27">
        <v>36000</v>
      </c>
      <c r="G292" s="13"/>
      <c r="H292" s="13"/>
      <c r="I292" s="13"/>
    </row>
    <row r="293" spans="1:9" ht="16.95" hidden="1" customHeight="1" x14ac:dyDescent="0.2"/>
    <row r="294" spans="1:9" ht="13.5" hidden="1" customHeight="1" x14ac:dyDescent="0.2">
      <c r="A294" s="2"/>
      <c r="B294" s="2"/>
      <c r="C294" s="19" t="s">
        <v>98</v>
      </c>
      <c r="D294" s="29"/>
      <c r="E294" s="40"/>
      <c r="F294" s="29">
        <v>2864867</v>
      </c>
    </row>
    <row r="295" spans="1:9" ht="13.5" hidden="1" customHeight="1" x14ac:dyDescent="0.2">
      <c r="C295" s="3" t="s">
        <v>99</v>
      </c>
      <c r="D295" s="30" t="s">
        <v>100</v>
      </c>
      <c r="F295" s="30">
        <v>355328</v>
      </c>
    </row>
    <row r="296" spans="1:9" ht="13.5" hidden="1" customHeight="1" x14ac:dyDescent="0.2">
      <c r="D296" s="30" t="s">
        <v>101</v>
      </c>
      <c r="F296" s="30">
        <v>2509539</v>
      </c>
    </row>
    <row r="297" spans="1:9" ht="11.4" hidden="1" x14ac:dyDescent="0.2">
      <c r="C297" s="19" t="s">
        <v>102</v>
      </c>
      <c r="D297" s="29"/>
      <c r="E297" s="40"/>
      <c r="F297" s="29">
        <v>2864867</v>
      </c>
    </row>
    <row r="298" spans="1:9" ht="16.95" hidden="1" customHeight="1" x14ac:dyDescent="0.2"/>
    <row r="299" spans="1:9" ht="13.5" customHeight="1" x14ac:dyDescent="0.25">
      <c r="A299" s="4" t="s">
        <v>277</v>
      </c>
      <c r="D299" s="30" t="s">
        <v>24</v>
      </c>
      <c r="E299" s="33">
        <f>F319/49.7</f>
        <v>81213.436619718297</v>
      </c>
    </row>
    <row r="300" spans="1:9" ht="13.5" hidden="1" customHeight="1" x14ac:dyDescent="0.2">
      <c r="A300" s="5" t="s">
        <v>5</v>
      </c>
      <c r="B300" s="5" t="s">
        <v>6</v>
      </c>
      <c r="C300" s="6" t="s">
        <v>7</v>
      </c>
      <c r="D300" s="23" t="s">
        <v>8</v>
      </c>
      <c r="E300" s="34" t="s">
        <v>9</v>
      </c>
      <c r="F300" s="23" t="s">
        <v>10</v>
      </c>
    </row>
    <row r="301" spans="1:9" ht="13.5" hidden="1" customHeight="1" x14ac:dyDescent="0.2">
      <c r="A301" s="7">
        <v>1</v>
      </c>
      <c r="B301" s="7" t="s">
        <v>151</v>
      </c>
      <c r="C301" s="7" t="s">
        <v>11</v>
      </c>
      <c r="D301" s="24">
        <v>1</v>
      </c>
      <c r="E301" s="35">
        <v>519760</v>
      </c>
      <c r="F301" s="24">
        <v>519760</v>
      </c>
    </row>
    <row r="302" spans="1:9" ht="13.5" hidden="1" customHeight="1" x14ac:dyDescent="0.2">
      <c r="A302" s="9" t="s">
        <v>12</v>
      </c>
      <c r="B302" s="10" t="s">
        <v>269</v>
      </c>
      <c r="C302" s="9" t="s">
        <v>24</v>
      </c>
      <c r="D302" s="25">
        <v>49.7</v>
      </c>
      <c r="E302" s="36">
        <v>8800</v>
      </c>
      <c r="F302" s="25">
        <v>437360</v>
      </c>
      <c r="G302" s="8"/>
      <c r="H302" s="8"/>
      <c r="I302" s="8"/>
    </row>
    <row r="303" spans="1:9" ht="13.5" hidden="1" customHeight="1" x14ac:dyDescent="0.2">
      <c r="A303" s="9" t="s">
        <v>15</v>
      </c>
      <c r="B303" s="10" t="s">
        <v>278</v>
      </c>
      <c r="C303" s="9" t="s">
        <v>76</v>
      </c>
      <c r="D303" s="25">
        <v>13</v>
      </c>
      <c r="E303" s="36">
        <v>3200</v>
      </c>
      <c r="F303" s="25">
        <v>41600</v>
      </c>
      <c r="G303" s="8"/>
      <c r="H303" s="8"/>
      <c r="I303" s="8"/>
    </row>
    <row r="304" spans="1:9" ht="13.5" hidden="1" customHeight="1" x14ac:dyDescent="0.2">
      <c r="A304" s="9" t="s">
        <v>18</v>
      </c>
      <c r="B304" s="10" t="s">
        <v>270</v>
      </c>
      <c r="C304" s="9" t="s">
        <v>76</v>
      </c>
      <c r="D304" s="25">
        <v>85</v>
      </c>
      <c r="E304" s="36">
        <v>480</v>
      </c>
      <c r="F304" s="25">
        <v>40800</v>
      </c>
      <c r="G304" s="8"/>
      <c r="H304" s="8"/>
      <c r="I304" s="8"/>
    </row>
    <row r="305" spans="1:9" ht="13.5" hidden="1" customHeight="1" x14ac:dyDescent="0.2">
      <c r="A305" s="7">
        <v>2</v>
      </c>
      <c r="B305" s="7" t="s">
        <v>29</v>
      </c>
      <c r="C305" s="7" t="s">
        <v>11</v>
      </c>
      <c r="D305" s="24">
        <v>1</v>
      </c>
      <c r="E305" s="35">
        <v>3184147.8</v>
      </c>
      <c r="F305" s="24">
        <v>3184147.8</v>
      </c>
    </row>
    <row r="306" spans="1:9" ht="13.5" hidden="1" customHeight="1" x14ac:dyDescent="0.2">
      <c r="A306" s="11" t="s">
        <v>30</v>
      </c>
      <c r="B306" s="12" t="s">
        <v>279</v>
      </c>
      <c r="C306" s="11" t="s">
        <v>24</v>
      </c>
      <c r="D306" s="26">
        <v>2.88</v>
      </c>
      <c r="E306" s="37">
        <v>79200</v>
      </c>
      <c r="F306" s="26">
        <v>228096</v>
      </c>
    </row>
    <row r="307" spans="1:9" ht="13.5" hidden="1" customHeight="1" x14ac:dyDescent="0.2">
      <c r="A307" s="11" t="s">
        <v>32</v>
      </c>
      <c r="B307" s="12" t="s">
        <v>280</v>
      </c>
      <c r="C307" s="11" t="s">
        <v>24</v>
      </c>
      <c r="D307" s="26">
        <v>49.7</v>
      </c>
      <c r="E307" s="37">
        <v>57200</v>
      </c>
      <c r="F307" s="26">
        <v>2842840</v>
      </c>
    </row>
    <row r="308" spans="1:9" ht="13.5" hidden="1" customHeight="1" x14ac:dyDescent="0.2">
      <c r="A308" s="11" t="s">
        <v>34</v>
      </c>
      <c r="B308" s="12" t="s">
        <v>176</v>
      </c>
      <c r="C308" s="11" t="s">
        <v>76</v>
      </c>
      <c r="D308" s="26">
        <v>45</v>
      </c>
      <c r="E308" s="37">
        <v>806</v>
      </c>
      <c r="F308" s="26">
        <v>36270</v>
      </c>
    </row>
    <row r="309" spans="1:9" ht="13.5" hidden="1" customHeight="1" x14ac:dyDescent="0.2">
      <c r="A309" s="11" t="s">
        <v>36</v>
      </c>
      <c r="B309" s="12" t="s">
        <v>273</v>
      </c>
      <c r="C309" s="11" t="s">
        <v>76</v>
      </c>
      <c r="D309" s="26">
        <v>160</v>
      </c>
      <c r="E309" s="37">
        <v>319.8</v>
      </c>
      <c r="F309" s="26">
        <v>51168</v>
      </c>
    </row>
    <row r="310" spans="1:9" ht="13.5" hidden="1" customHeight="1" x14ac:dyDescent="0.2">
      <c r="A310" s="11" t="s">
        <v>38</v>
      </c>
      <c r="B310" s="12" t="s">
        <v>281</v>
      </c>
      <c r="C310" s="11" t="s">
        <v>52</v>
      </c>
      <c r="D310" s="26">
        <v>23</v>
      </c>
      <c r="E310" s="37">
        <v>1120.5999999999999</v>
      </c>
      <c r="F310" s="26">
        <v>25773.8</v>
      </c>
    </row>
    <row r="311" spans="1:9" ht="13.5" hidden="1" customHeight="1" x14ac:dyDescent="0.2">
      <c r="A311" s="7">
        <v>3</v>
      </c>
      <c r="B311" s="7" t="s">
        <v>282</v>
      </c>
      <c r="C311" s="7" t="s">
        <v>11</v>
      </c>
      <c r="D311" s="24">
        <v>1</v>
      </c>
      <c r="E311" s="35">
        <v>332400</v>
      </c>
      <c r="F311" s="24">
        <v>332400</v>
      </c>
    </row>
    <row r="312" spans="1:9" ht="13.5" hidden="1" customHeight="1" x14ac:dyDescent="0.2">
      <c r="A312" s="14" t="s">
        <v>60</v>
      </c>
      <c r="B312" s="15" t="s">
        <v>283</v>
      </c>
      <c r="C312" s="14" t="s">
        <v>62</v>
      </c>
      <c r="D312" s="27">
        <v>1</v>
      </c>
      <c r="E312" s="38">
        <v>20400</v>
      </c>
      <c r="F312" s="27">
        <v>20400</v>
      </c>
      <c r="G312" s="13"/>
      <c r="H312" s="13"/>
      <c r="I312" s="13"/>
    </row>
    <row r="313" spans="1:9" ht="13.5" hidden="1" customHeight="1" x14ac:dyDescent="0.2">
      <c r="A313" s="14" t="s">
        <v>63</v>
      </c>
      <c r="B313" s="15" t="s">
        <v>276</v>
      </c>
      <c r="C313" s="14" t="s">
        <v>62</v>
      </c>
      <c r="D313" s="27">
        <v>2</v>
      </c>
      <c r="E313" s="38">
        <v>36000</v>
      </c>
      <c r="F313" s="27">
        <v>72000</v>
      </c>
      <c r="G313" s="13"/>
      <c r="H313" s="13"/>
      <c r="I313" s="13"/>
    </row>
    <row r="314" spans="1:9" ht="13.5" hidden="1" customHeight="1" x14ac:dyDescent="0.2">
      <c r="A314" s="17" t="s">
        <v>65</v>
      </c>
      <c r="B314" s="18" t="s">
        <v>274</v>
      </c>
      <c r="C314" s="17" t="s">
        <v>275</v>
      </c>
      <c r="D314" s="28">
        <v>2</v>
      </c>
      <c r="E314" s="39">
        <v>120000</v>
      </c>
      <c r="F314" s="28">
        <v>240000</v>
      </c>
      <c r="G314" s="16"/>
      <c r="H314" s="16"/>
      <c r="I314" s="16"/>
    </row>
    <row r="315" spans="1:9" ht="16.95" hidden="1" customHeight="1" x14ac:dyDescent="0.2"/>
    <row r="316" spans="1:9" ht="13.5" hidden="1" customHeight="1" x14ac:dyDescent="0.2">
      <c r="A316" s="2"/>
      <c r="B316" s="2"/>
      <c r="C316" s="19" t="s">
        <v>98</v>
      </c>
      <c r="D316" s="29"/>
      <c r="E316" s="40"/>
      <c r="F316" s="29">
        <v>4036307.8</v>
      </c>
    </row>
    <row r="317" spans="1:9" ht="13.5" hidden="1" customHeight="1" x14ac:dyDescent="0.2">
      <c r="C317" s="3" t="s">
        <v>99</v>
      </c>
      <c r="D317" s="30" t="s">
        <v>100</v>
      </c>
      <c r="F317" s="30">
        <v>519760</v>
      </c>
    </row>
    <row r="318" spans="1:9" ht="13.5" hidden="1" customHeight="1" x14ac:dyDescent="0.2">
      <c r="D318" s="30" t="s">
        <v>101</v>
      </c>
      <c r="F318" s="30">
        <v>3516547.8</v>
      </c>
    </row>
    <row r="319" spans="1:9" ht="11.4" hidden="1" x14ac:dyDescent="0.2">
      <c r="C319" s="19" t="s">
        <v>102</v>
      </c>
      <c r="D319" s="29"/>
      <c r="E319" s="40"/>
      <c r="F319" s="29">
        <v>4036307.8</v>
      </c>
    </row>
    <row r="320" spans="1:9" ht="16.95" hidden="1" customHeight="1" x14ac:dyDescent="0.2"/>
    <row r="321" spans="1:9" ht="13.5" customHeight="1" x14ac:dyDescent="0.25">
      <c r="A321" s="4" t="s">
        <v>284</v>
      </c>
      <c r="D321" s="30" t="s">
        <v>17</v>
      </c>
      <c r="E321" s="33">
        <f>F329/62</f>
        <v>3826.2903225806454</v>
      </c>
    </row>
    <row r="322" spans="1:9" ht="13.5" hidden="1" customHeight="1" x14ac:dyDescent="0.2">
      <c r="A322" s="5" t="s">
        <v>5</v>
      </c>
      <c r="B322" s="5" t="s">
        <v>6</v>
      </c>
      <c r="C322" s="6" t="s">
        <v>7</v>
      </c>
      <c r="D322" s="23" t="s">
        <v>8</v>
      </c>
      <c r="E322" s="34" t="s">
        <v>9</v>
      </c>
      <c r="F322" s="23" t="s">
        <v>10</v>
      </c>
    </row>
    <row r="323" spans="1:9" ht="13.5" hidden="1" customHeight="1" x14ac:dyDescent="0.2">
      <c r="A323" s="9">
        <v>1</v>
      </c>
      <c r="B323" s="9" t="s">
        <v>188</v>
      </c>
      <c r="C323" s="9" t="s">
        <v>17</v>
      </c>
      <c r="D323" s="25">
        <v>62</v>
      </c>
      <c r="E323" s="36">
        <v>2520</v>
      </c>
      <c r="F323" s="25">
        <v>156240</v>
      </c>
      <c r="G323" s="8"/>
      <c r="H323" s="8"/>
      <c r="I323" s="8"/>
    </row>
    <row r="324" spans="1:9" ht="13.5" hidden="1" customHeight="1" x14ac:dyDescent="0.2">
      <c r="A324" s="11">
        <v>2</v>
      </c>
      <c r="B324" s="11" t="s">
        <v>189</v>
      </c>
      <c r="C324" s="11" t="s">
        <v>76</v>
      </c>
      <c r="D324" s="26">
        <v>890</v>
      </c>
      <c r="E324" s="37">
        <v>91</v>
      </c>
      <c r="F324" s="26">
        <v>80990</v>
      </c>
    </row>
    <row r="325" spans="1:9" ht="16.95" hidden="1" customHeight="1" x14ac:dyDescent="0.2"/>
    <row r="326" spans="1:9" ht="13.5" hidden="1" customHeight="1" x14ac:dyDescent="0.2">
      <c r="A326" s="2"/>
      <c r="B326" s="2"/>
      <c r="C326" s="19" t="s">
        <v>98</v>
      </c>
      <c r="D326" s="29"/>
      <c r="E326" s="40"/>
      <c r="F326" s="29">
        <v>237230</v>
      </c>
    </row>
    <row r="327" spans="1:9" ht="13.5" hidden="1" customHeight="1" x14ac:dyDescent="0.2">
      <c r="C327" s="3" t="s">
        <v>99</v>
      </c>
      <c r="D327" s="30" t="s">
        <v>100</v>
      </c>
      <c r="F327" s="30">
        <v>156240</v>
      </c>
    </row>
    <row r="328" spans="1:9" ht="13.5" hidden="1" customHeight="1" x14ac:dyDescent="0.2">
      <c r="D328" s="30" t="s">
        <v>101</v>
      </c>
      <c r="F328" s="30">
        <v>80990</v>
      </c>
    </row>
    <row r="329" spans="1:9" ht="11.4" hidden="1" x14ac:dyDescent="0.2">
      <c r="C329" s="19" t="s">
        <v>102</v>
      </c>
      <c r="D329" s="29"/>
      <c r="E329" s="40"/>
      <c r="F329" s="29">
        <v>237230</v>
      </c>
    </row>
    <row r="330" spans="1:9" ht="16.95" hidden="1" customHeight="1" x14ac:dyDescent="0.2"/>
    <row r="331" spans="1:9" ht="13.5" customHeight="1" x14ac:dyDescent="0.25">
      <c r="A331" s="4" t="s">
        <v>285</v>
      </c>
      <c r="D331" s="30" t="s">
        <v>17</v>
      </c>
      <c r="E331" s="33">
        <f>F339/48</f>
        <v>3197.5</v>
      </c>
    </row>
    <row r="332" spans="1:9" ht="13.5" hidden="1" customHeight="1" x14ac:dyDescent="0.2">
      <c r="A332" s="5" t="s">
        <v>5</v>
      </c>
      <c r="B332" s="5" t="s">
        <v>6</v>
      </c>
      <c r="C332" s="6" t="s">
        <v>7</v>
      </c>
      <c r="D332" s="23" t="s">
        <v>8</v>
      </c>
      <c r="E332" s="34" t="s">
        <v>9</v>
      </c>
      <c r="F332" s="23" t="s">
        <v>10</v>
      </c>
    </row>
    <row r="333" spans="1:9" ht="13.5" hidden="1" customHeight="1" x14ac:dyDescent="0.2">
      <c r="A333" s="9">
        <v>1</v>
      </c>
      <c r="B333" s="9" t="s">
        <v>286</v>
      </c>
      <c r="C333" s="9" t="s">
        <v>17</v>
      </c>
      <c r="D333" s="25">
        <v>48</v>
      </c>
      <c r="E333" s="36">
        <v>1300</v>
      </c>
      <c r="F333" s="25">
        <v>62400</v>
      </c>
      <c r="G333" s="8"/>
      <c r="H333" s="8"/>
      <c r="I333" s="8"/>
    </row>
    <row r="334" spans="1:9" ht="13.5" hidden="1" customHeight="1" x14ac:dyDescent="0.2">
      <c r="A334" s="11">
        <v>2</v>
      </c>
      <c r="B334" s="11" t="s">
        <v>78</v>
      </c>
      <c r="C334" s="11" t="s">
        <v>76</v>
      </c>
      <c r="D334" s="26">
        <v>3168</v>
      </c>
      <c r="E334" s="37">
        <v>28.75</v>
      </c>
      <c r="F334" s="26">
        <v>91080</v>
      </c>
    </row>
    <row r="335" spans="1:9" ht="16.95" hidden="1" customHeight="1" x14ac:dyDescent="0.2"/>
    <row r="336" spans="1:9" ht="13.5" hidden="1" customHeight="1" x14ac:dyDescent="0.2">
      <c r="A336" s="2"/>
      <c r="B336" s="2"/>
      <c r="C336" s="19" t="s">
        <v>98</v>
      </c>
      <c r="D336" s="29"/>
      <c r="E336" s="40"/>
      <c r="F336" s="29">
        <v>153480</v>
      </c>
    </row>
    <row r="337" spans="1:9" ht="13.5" hidden="1" customHeight="1" x14ac:dyDescent="0.2">
      <c r="C337" s="3" t="s">
        <v>99</v>
      </c>
      <c r="D337" s="30" t="s">
        <v>100</v>
      </c>
      <c r="F337" s="30">
        <v>62400</v>
      </c>
    </row>
    <row r="338" spans="1:9" ht="13.5" hidden="1" customHeight="1" x14ac:dyDescent="0.2">
      <c r="D338" s="30" t="s">
        <v>101</v>
      </c>
      <c r="F338" s="30">
        <v>91080</v>
      </c>
    </row>
    <row r="339" spans="1:9" ht="11.4" hidden="1" x14ac:dyDescent="0.2">
      <c r="C339" s="19" t="s">
        <v>102</v>
      </c>
      <c r="D339" s="29"/>
      <c r="E339" s="40"/>
      <c r="F339" s="29">
        <v>153480</v>
      </c>
    </row>
    <row r="340" spans="1:9" ht="16.95" hidden="1" customHeight="1" x14ac:dyDescent="0.2"/>
    <row r="341" spans="1:9" ht="13.5" customHeight="1" x14ac:dyDescent="0.25">
      <c r="A341" s="4" t="s">
        <v>287</v>
      </c>
      <c r="D341" s="30" t="s">
        <v>17</v>
      </c>
      <c r="E341" s="33">
        <f>F360/175</f>
        <v>3554.6753435428582</v>
      </c>
    </row>
    <row r="342" spans="1:9" ht="13.5" hidden="1" customHeight="1" x14ac:dyDescent="0.2">
      <c r="A342" s="5" t="s">
        <v>5</v>
      </c>
      <c r="B342" s="5" t="s">
        <v>6</v>
      </c>
      <c r="C342" s="6" t="s">
        <v>7</v>
      </c>
      <c r="D342" s="23" t="s">
        <v>8</v>
      </c>
      <c r="E342" s="34" t="s">
        <v>9</v>
      </c>
      <c r="F342" s="23" t="s">
        <v>10</v>
      </c>
    </row>
    <row r="343" spans="1:9" ht="13.5" hidden="1" customHeight="1" x14ac:dyDescent="0.2">
      <c r="A343" s="9">
        <v>1</v>
      </c>
      <c r="B343" s="9" t="s">
        <v>288</v>
      </c>
      <c r="C343" s="9" t="s">
        <v>17</v>
      </c>
      <c r="D343" s="25">
        <v>175</v>
      </c>
      <c r="E343" s="36">
        <v>1170</v>
      </c>
      <c r="F343" s="25">
        <v>204750</v>
      </c>
      <c r="G343" s="8"/>
      <c r="H343" s="8"/>
      <c r="I343" s="8"/>
    </row>
    <row r="344" spans="1:9" ht="13.5" hidden="1" customHeight="1" x14ac:dyDescent="0.2">
      <c r="A344" s="7">
        <v>2</v>
      </c>
      <c r="B344" s="7" t="s">
        <v>289</v>
      </c>
      <c r="C344" s="7" t="s">
        <v>11</v>
      </c>
      <c r="D344" s="24">
        <v>1</v>
      </c>
      <c r="E344" s="35">
        <v>373318.18511999998</v>
      </c>
      <c r="F344" s="24">
        <v>373318.18511999998</v>
      </c>
    </row>
    <row r="345" spans="1:9" ht="13.5" hidden="1" customHeight="1" x14ac:dyDescent="0.2">
      <c r="A345" s="11" t="s">
        <v>30</v>
      </c>
      <c r="B345" s="12" t="s">
        <v>290</v>
      </c>
      <c r="C345" s="11" t="s">
        <v>291</v>
      </c>
      <c r="D345" s="26">
        <v>637.96</v>
      </c>
      <c r="E345" s="37">
        <v>341.17200000000003</v>
      </c>
      <c r="F345" s="26">
        <v>217654.08911999999</v>
      </c>
    </row>
    <row r="346" spans="1:9" ht="13.5" hidden="1" customHeight="1" x14ac:dyDescent="0.2">
      <c r="A346" s="11" t="s">
        <v>32</v>
      </c>
      <c r="B346" s="12" t="s">
        <v>292</v>
      </c>
      <c r="C346" s="11" t="s">
        <v>293</v>
      </c>
      <c r="D346" s="26">
        <v>14.45</v>
      </c>
      <c r="E346" s="37">
        <v>1020</v>
      </c>
      <c r="F346" s="26">
        <v>14739</v>
      </c>
    </row>
    <row r="347" spans="1:9" ht="13.5" hidden="1" customHeight="1" x14ac:dyDescent="0.2">
      <c r="A347" s="11" t="s">
        <v>34</v>
      </c>
      <c r="B347" s="12" t="s">
        <v>294</v>
      </c>
      <c r="C347" s="11" t="s">
        <v>76</v>
      </c>
      <c r="D347" s="26">
        <v>8</v>
      </c>
      <c r="E347" s="37">
        <v>981.24</v>
      </c>
      <c r="F347" s="26">
        <v>7849.92</v>
      </c>
    </row>
    <row r="348" spans="1:9" ht="13.5" hidden="1" customHeight="1" x14ac:dyDescent="0.2">
      <c r="A348" s="11" t="s">
        <v>36</v>
      </c>
      <c r="B348" s="12" t="s">
        <v>295</v>
      </c>
      <c r="C348" s="11" t="s">
        <v>76</v>
      </c>
      <c r="D348" s="26">
        <v>44</v>
      </c>
      <c r="E348" s="37">
        <v>511.68</v>
      </c>
      <c r="F348" s="26">
        <v>22513.919999999998</v>
      </c>
    </row>
    <row r="349" spans="1:9" ht="13.5" hidden="1" customHeight="1" x14ac:dyDescent="0.2">
      <c r="A349" s="11" t="s">
        <v>38</v>
      </c>
      <c r="B349" s="12" t="s">
        <v>296</v>
      </c>
      <c r="C349" s="11" t="s">
        <v>76</v>
      </c>
      <c r="D349" s="26">
        <v>42</v>
      </c>
      <c r="E349" s="37">
        <v>273</v>
      </c>
      <c r="F349" s="26">
        <v>11466</v>
      </c>
    </row>
    <row r="350" spans="1:9" ht="13.5" hidden="1" customHeight="1" x14ac:dyDescent="0.2">
      <c r="A350" s="11" t="s">
        <v>41</v>
      </c>
      <c r="B350" s="12" t="s">
        <v>297</v>
      </c>
      <c r="C350" s="11" t="s">
        <v>76</v>
      </c>
      <c r="D350" s="26">
        <v>104</v>
      </c>
      <c r="E350" s="37">
        <v>638.25599999999997</v>
      </c>
      <c r="F350" s="26">
        <v>66378.623999999996</v>
      </c>
    </row>
    <row r="351" spans="1:9" ht="13.5" hidden="1" customHeight="1" x14ac:dyDescent="0.2">
      <c r="A351" s="11" t="s">
        <v>43</v>
      </c>
      <c r="B351" s="12" t="s">
        <v>298</v>
      </c>
      <c r="C351" s="11" t="s">
        <v>76</v>
      </c>
      <c r="D351" s="26">
        <v>32</v>
      </c>
      <c r="E351" s="37">
        <v>705.33600000000001</v>
      </c>
      <c r="F351" s="26">
        <v>22570.752</v>
      </c>
    </row>
    <row r="352" spans="1:9" ht="13.5" hidden="1" customHeight="1" x14ac:dyDescent="0.2">
      <c r="A352" s="11" t="s">
        <v>45</v>
      </c>
      <c r="B352" s="12" t="s">
        <v>299</v>
      </c>
      <c r="C352" s="11" t="s">
        <v>76</v>
      </c>
      <c r="D352" s="26">
        <v>30</v>
      </c>
      <c r="E352" s="37">
        <v>309.49200000000002</v>
      </c>
      <c r="F352" s="26">
        <v>9284.76</v>
      </c>
    </row>
    <row r="353" spans="1:9" ht="13.5" hidden="1" customHeight="1" x14ac:dyDescent="0.2">
      <c r="A353" s="11" t="s">
        <v>47</v>
      </c>
      <c r="B353" s="12" t="s">
        <v>300</v>
      </c>
      <c r="C353" s="11" t="s">
        <v>76</v>
      </c>
      <c r="D353" s="26">
        <v>8</v>
      </c>
      <c r="E353" s="37">
        <v>107.64</v>
      </c>
      <c r="F353" s="26">
        <v>861.12</v>
      </c>
    </row>
    <row r="354" spans="1:9" ht="13.5" hidden="1" customHeight="1" x14ac:dyDescent="0.2">
      <c r="A354" s="7">
        <v>3</v>
      </c>
      <c r="B354" s="7" t="s">
        <v>2</v>
      </c>
      <c r="C354" s="7" t="s">
        <v>69</v>
      </c>
      <c r="D354" s="24">
        <v>1</v>
      </c>
      <c r="E354" s="35">
        <v>44000</v>
      </c>
      <c r="F354" s="24">
        <v>44000</v>
      </c>
    </row>
    <row r="355" spans="1:9" ht="13.5" hidden="1" customHeight="1" x14ac:dyDescent="0.2">
      <c r="A355" s="17" t="s">
        <v>60</v>
      </c>
      <c r="B355" s="18" t="s">
        <v>267</v>
      </c>
      <c r="C355" s="17" t="s">
        <v>69</v>
      </c>
      <c r="D355" s="28">
        <v>1</v>
      </c>
      <c r="E355" s="39">
        <v>44000</v>
      </c>
      <c r="F355" s="28">
        <v>44000</v>
      </c>
      <c r="G355" s="16"/>
      <c r="H355" s="16"/>
      <c r="I355" s="16"/>
    </row>
    <row r="356" spans="1:9" ht="16.95" hidden="1" customHeight="1" x14ac:dyDescent="0.2"/>
    <row r="357" spans="1:9" ht="13.5" hidden="1" customHeight="1" x14ac:dyDescent="0.2">
      <c r="A357" s="2"/>
      <c r="B357" s="2"/>
      <c r="C357" s="19" t="s">
        <v>98</v>
      </c>
      <c r="D357" s="29"/>
      <c r="E357" s="40"/>
      <c r="F357" s="29">
        <v>622068.18512000015</v>
      </c>
    </row>
    <row r="358" spans="1:9" ht="13.5" hidden="1" customHeight="1" x14ac:dyDescent="0.2">
      <c r="C358" s="3" t="s">
        <v>99</v>
      </c>
      <c r="D358" s="30" t="s">
        <v>100</v>
      </c>
      <c r="F358" s="30">
        <v>204750</v>
      </c>
    </row>
    <row r="359" spans="1:9" ht="13.5" hidden="1" customHeight="1" x14ac:dyDescent="0.2">
      <c r="D359" s="30" t="s">
        <v>101</v>
      </c>
      <c r="F359" s="30">
        <v>417318.18511999998</v>
      </c>
    </row>
    <row r="360" spans="1:9" ht="11.4" hidden="1" x14ac:dyDescent="0.2">
      <c r="C360" s="19" t="s">
        <v>102</v>
      </c>
      <c r="D360" s="29"/>
      <c r="E360" s="40"/>
      <c r="F360" s="29">
        <v>622068.18512000015</v>
      </c>
    </row>
    <row r="361" spans="1:9" ht="16.95" hidden="1" customHeight="1" x14ac:dyDescent="0.2"/>
    <row r="362" spans="1:9" ht="13.5" customHeight="1" x14ac:dyDescent="0.25">
      <c r="A362" s="4" t="s">
        <v>301</v>
      </c>
      <c r="D362" s="30" t="s">
        <v>156</v>
      </c>
      <c r="E362" s="33">
        <f>F379/77</f>
        <v>4053.6376623376618</v>
      </c>
    </row>
    <row r="363" spans="1:9" ht="13.5" hidden="1" customHeight="1" x14ac:dyDescent="0.2">
      <c r="A363" s="5" t="s">
        <v>5</v>
      </c>
      <c r="B363" s="5" t="s">
        <v>6</v>
      </c>
      <c r="C363" s="6" t="s">
        <v>7</v>
      </c>
      <c r="D363" s="23" t="s">
        <v>8</v>
      </c>
      <c r="E363" s="34" t="s">
        <v>9</v>
      </c>
      <c r="F363" s="23" t="s">
        <v>10</v>
      </c>
    </row>
    <row r="364" spans="1:9" ht="13.5" hidden="1" customHeight="1" x14ac:dyDescent="0.2">
      <c r="A364" s="7">
        <v>1</v>
      </c>
      <c r="B364" s="7" t="s">
        <v>302</v>
      </c>
      <c r="C364" s="7" t="s">
        <v>11</v>
      </c>
      <c r="D364" s="24">
        <v>1</v>
      </c>
      <c r="E364" s="35">
        <v>160160</v>
      </c>
      <c r="F364" s="24">
        <v>160160</v>
      </c>
    </row>
    <row r="365" spans="1:9" ht="13.5" hidden="1" customHeight="1" x14ac:dyDescent="0.2">
      <c r="A365" s="9" t="s">
        <v>12</v>
      </c>
      <c r="B365" s="10" t="s">
        <v>190</v>
      </c>
      <c r="C365" s="9" t="s">
        <v>191</v>
      </c>
      <c r="D365" s="25">
        <v>77</v>
      </c>
      <c r="E365" s="36">
        <v>2080</v>
      </c>
      <c r="F365" s="25">
        <v>160160</v>
      </c>
      <c r="G365" s="8"/>
      <c r="H365" s="8"/>
      <c r="I365" s="8"/>
    </row>
    <row r="366" spans="1:9" ht="13.5" hidden="1" customHeight="1" x14ac:dyDescent="0.2">
      <c r="A366" s="7">
        <v>2</v>
      </c>
      <c r="B366" s="7" t="s">
        <v>303</v>
      </c>
      <c r="C366" s="7" t="s">
        <v>11</v>
      </c>
      <c r="D366" s="24">
        <v>1</v>
      </c>
      <c r="E366" s="35">
        <v>124370.1</v>
      </c>
      <c r="F366" s="24">
        <v>124370.1</v>
      </c>
    </row>
    <row r="367" spans="1:9" ht="13.5" hidden="1" customHeight="1" x14ac:dyDescent="0.2">
      <c r="A367" s="11" t="s">
        <v>30</v>
      </c>
      <c r="B367" s="12" t="s">
        <v>304</v>
      </c>
      <c r="C367" s="11" t="s">
        <v>24</v>
      </c>
      <c r="D367" s="26">
        <v>4</v>
      </c>
      <c r="E367" s="37">
        <v>9875</v>
      </c>
      <c r="F367" s="26">
        <v>39500</v>
      </c>
    </row>
    <row r="368" spans="1:9" ht="13.5" hidden="1" customHeight="1" x14ac:dyDescent="0.2">
      <c r="A368" s="11" t="s">
        <v>32</v>
      </c>
      <c r="B368" s="12" t="s">
        <v>42</v>
      </c>
      <c r="C368" s="11" t="s">
        <v>40</v>
      </c>
      <c r="D368" s="26">
        <v>0.3</v>
      </c>
      <c r="E368" s="37">
        <v>67500</v>
      </c>
      <c r="F368" s="26">
        <v>20250</v>
      </c>
    </row>
    <row r="369" spans="1:9" ht="13.5" hidden="1" customHeight="1" x14ac:dyDescent="0.2">
      <c r="A369" s="11" t="s">
        <v>34</v>
      </c>
      <c r="B369" s="12" t="s">
        <v>39</v>
      </c>
      <c r="C369" s="11" t="s">
        <v>40</v>
      </c>
      <c r="D369" s="26">
        <v>0.1</v>
      </c>
      <c r="E369" s="37">
        <v>67500</v>
      </c>
      <c r="F369" s="26">
        <v>6750</v>
      </c>
    </row>
    <row r="370" spans="1:9" ht="13.5" hidden="1" customHeight="1" x14ac:dyDescent="0.2">
      <c r="A370" s="11" t="s">
        <v>36</v>
      </c>
      <c r="B370" s="12" t="s">
        <v>44</v>
      </c>
      <c r="C370" s="11" t="s">
        <v>40</v>
      </c>
      <c r="D370" s="26">
        <v>0.01</v>
      </c>
      <c r="E370" s="37">
        <v>118750</v>
      </c>
      <c r="F370" s="26">
        <v>1187.5</v>
      </c>
    </row>
    <row r="371" spans="1:9" ht="13.5" hidden="1" customHeight="1" x14ac:dyDescent="0.2">
      <c r="A371" s="11" t="s">
        <v>38</v>
      </c>
      <c r="B371" s="12" t="s">
        <v>305</v>
      </c>
      <c r="C371" s="11" t="s">
        <v>24</v>
      </c>
      <c r="D371" s="26">
        <v>1.3</v>
      </c>
      <c r="E371" s="37">
        <v>24000</v>
      </c>
      <c r="F371" s="26">
        <v>31200</v>
      </c>
    </row>
    <row r="372" spans="1:9" ht="13.5" hidden="1" customHeight="1" x14ac:dyDescent="0.2">
      <c r="A372" s="11" t="s">
        <v>41</v>
      </c>
      <c r="B372" s="12" t="s">
        <v>306</v>
      </c>
      <c r="C372" s="11" t="s">
        <v>76</v>
      </c>
      <c r="D372" s="26">
        <v>20</v>
      </c>
      <c r="E372" s="37">
        <v>143</v>
      </c>
      <c r="F372" s="26">
        <v>2860</v>
      </c>
    </row>
    <row r="373" spans="1:9" ht="13.5" hidden="1" customHeight="1" x14ac:dyDescent="0.2">
      <c r="A373" s="11" t="s">
        <v>43</v>
      </c>
      <c r="B373" s="12" t="s">
        <v>307</v>
      </c>
      <c r="C373" s="11" t="s">
        <v>76</v>
      </c>
      <c r="D373" s="26">
        <v>77</v>
      </c>
      <c r="E373" s="37">
        <v>293.8</v>
      </c>
      <c r="F373" s="26">
        <v>22622.6</v>
      </c>
    </row>
    <row r="374" spans="1:9" ht="13.5" hidden="1" customHeight="1" x14ac:dyDescent="0.2">
      <c r="A374" s="14">
        <v>3</v>
      </c>
      <c r="B374" s="14" t="s">
        <v>64</v>
      </c>
      <c r="C374" s="14" t="s">
        <v>62</v>
      </c>
      <c r="D374" s="27">
        <v>1</v>
      </c>
      <c r="E374" s="38">
        <v>27600</v>
      </c>
      <c r="F374" s="27">
        <v>27600</v>
      </c>
      <c r="G374" s="13"/>
      <c r="H374" s="13"/>
      <c r="I374" s="13"/>
    </row>
    <row r="375" spans="1:9" ht="16.95" hidden="1" customHeight="1" x14ac:dyDescent="0.2"/>
    <row r="376" spans="1:9" ht="13.5" hidden="1" customHeight="1" x14ac:dyDescent="0.2">
      <c r="A376" s="2"/>
      <c r="B376" s="2"/>
      <c r="C376" s="19" t="s">
        <v>98</v>
      </c>
      <c r="D376" s="29"/>
      <c r="E376" s="40"/>
      <c r="F376" s="29">
        <v>312130.09999999998</v>
      </c>
    </row>
    <row r="377" spans="1:9" ht="13.5" hidden="1" customHeight="1" x14ac:dyDescent="0.2">
      <c r="C377" s="3" t="s">
        <v>99</v>
      </c>
      <c r="D377" s="30" t="s">
        <v>100</v>
      </c>
      <c r="F377" s="30">
        <v>160160</v>
      </c>
    </row>
    <row r="378" spans="1:9" ht="13.5" hidden="1" customHeight="1" x14ac:dyDescent="0.2">
      <c r="D378" s="30" t="s">
        <v>101</v>
      </c>
      <c r="F378" s="30">
        <v>151970.1</v>
      </c>
    </row>
    <row r="379" spans="1:9" ht="11.4" hidden="1" x14ac:dyDescent="0.2">
      <c r="C379" s="19" t="s">
        <v>102</v>
      </c>
      <c r="D379" s="29"/>
      <c r="E379" s="40"/>
      <c r="F379" s="29">
        <v>312130.09999999998</v>
      </c>
    </row>
    <row r="380" spans="1:9" ht="16.95" hidden="1" customHeight="1" x14ac:dyDescent="0.2"/>
    <row r="381" spans="1:9" ht="13.5" customHeight="1" x14ac:dyDescent="0.25">
      <c r="A381" s="4" t="s">
        <v>308</v>
      </c>
      <c r="D381" s="30" t="s">
        <v>17</v>
      </c>
      <c r="E381" s="33">
        <f>F421/182.16</f>
        <v>8236.7972661396579</v>
      </c>
    </row>
    <row r="382" spans="1:9" ht="13.5" hidden="1" customHeight="1" x14ac:dyDescent="0.2">
      <c r="A382" s="5" t="s">
        <v>5</v>
      </c>
      <c r="B382" s="5" t="s">
        <v>6</v>
      </c>
      <c r="C382" s="6" t="s">
        <v>7</v>
      </c>
      <c r="D382" s="23" t="s">
        <v>8</v>
      </c>
      <c r="E382" s="34" t="s">
        <v>9</v>
      </c>
      <c r="F382" s="23" t="s">
        <v>10</v>
      </c>
    </row>
    <row r="383" spans="1:9" ht="13.5" hidden="1" customHeight="1" x14ac:dyDescent="0.2">
      <c r="A383" s="7">
        <v>3</v>
      </c>
      <c r="B383" s="7" t="s">
        <v>0</v>
      </c>
      <c r="C383" s="7" t="s">
        <v>11</v>
      </c>
      <c r="D383" s="24">
        <v>1</v>
      </c>
      <c r="E383" s="35">
        <v>752698.4</v>
      </c>
      <c r="F383" s="24">
        <f>SUM(F384:F391)</f>
        <v>670378.40000000014</v>
      </c>
    </row>
    <row r="384" spans="1:9" ht="13.5" hidden="1" customHeight="1" x14ac:dyDescent="0.2">
      <c r="A384" s="9" t="s">
        <v>60</v>
      </c>
      <c r="B384" s="10" t="s">
        <v>309</v>
      </c>
      <c r="C384" s="9" t="s">
        <v>17</v>
      </c>
      <c r="D384" s="25">
        <v>182.16</v>
      </c>
      <c r="E384" s="36">
        <v>1400</v>
      </c>
      <c r="F384" s="25">
        <v>255024</v>
      </c>
      <c r="G384" s="8"/>
      <c r="H384" s="8"/>
      <c r="I384" s="8"/>
    </row>
    <row r="385" spans="1:9" ht="13.5" hidden="1" customHeight="1" x14ac:dyDescent="0.2">
      <c r="A385" s="9" t="s">
        <v>63</v>
      </c>
      <c r="B385" s="10" t="s">
        <v>310</v>
      </c>
      <c r="C385" s="9" t="s">
        <v>17</v>
      </c>
      <c r="D385" s="25">
        <v>182.16</v>
      </c>
      <c r="E385" s="36">
        <v>140</v>
      </c>
      <c r="F385" s="25">
        <v>25502.400000000001</v>
      </c>
      <c r="G385" s="8"/>
      <c r="H385" s="8"/>
      <c r="I385" s="8"/>
    </row>
    <row r="386" spans="1:9" ht="13.5" hidden="1" customHeight="1" x14ac:dyDescent="0.2">
      <c r="A386" s="9" t="s">
        <v>65</v>
      </c>
      <c r="B386" s="10" t="s">
        <v>311</v>
      </c>
      <c r="C386" s="9" t="s">
        <v>17</v>
      </c>
      <c r="D386" s="25">
        <v>182.16</v>
      </c>
      <c r="E386" s="36">
        <v>490</v>
      </c>
      <c r="F386" s="25">
        <v>89258.4</v>
      </c>
      <c r="G386" s="8"/>
      <c r="H386" s="8"/>
      <c r="I386" s="8"/>
    </row>
    <row r="387" spans="1:9" ht="13.5" hidden="1" customHeight="1" x14ac:dyDescent="0.2">
      <c r="A387" s="9" t="s">
        <v>67</v>
      </c>
      <c r="B387" s="10" t="s">
        <v>248</v>
      </c>
      <c r="C387" s="9" t="s">
        <v>17</v>
      </c>
      <c r="D387" s="25">
        <v>182.16</v>
      </c>
      <c r="E387" s="36">
        <v>140</v>
      </c>
      <c r="F387" s="25">
        <v>25502.400000000001</v>
      </c>
      <c r="G387" s="8"/>
      <c r="H387" s="8"/>
      <c r="I387" s="8"/>
    </row>
    <row r="388" spans="1:9" ht="13.5" hidden="1" customHeight="1" x14ac:dyDescent="0.2">
      <c r="A388" s="9" t="s">
        <v>312</v>
      </c>
      <c r="B388" s="10" t="s">
        <v>313</v>
      </c>
      <c r="C388" s="9" t="s">
        <v>17</v>
      </c>
      <c r="D388" s="25">
        <v>182.16</v>
      </c>
      <c r="E388" s="36">
        <v>1120</v>
      </c>
      <c r="F388" s="25">
        <v>204019.20000000001</v>
      </c>
      <c r="G388" s="8"/>
      <c r="H388" s="8"/>
      <c r="I388" s="8"/>
    </row>
    <row r="389" spans="1:9" ht="13.5" hidden="1" customHeight="1" x14ac:dyDescent="0.2">
      <c r="A389" s="9" t="s">
        <v>314</v>
      </c>
      <c r="B389" s="10" t="s">
        <v>315</v>
      </c>
      <c r="C389" s="9" t="s">
        <v>17</v>
      </c>
      <c r="D389" s="25">
        <v>40.64</v>
      </c>
      <c r="E389" s="36">
        <v>1050</v>
      </c>
      <c r="F389" s="25">
        <v>42672</v>
      </c>
      <c r="G389" s="8"/>
      <c r="H389" s="8"/>
      <c r="I389" s="8"/>
    </row>
    <row r="390" spans="1:9" ht="13.5" hidden="1" customHeight="1" x14ac:dyDescent="0.2">
      <c r="A390" s="9" t="s">
        <v>320</v>
      </c>
      <c r="B390" s="10" t="s">
        <v>321</v>
      </c>
      <c r="C390" s="9" t="s">
        <v>76</v>
      </c>
      <c r="D390" s="25">
        <v>4</v>
      </c>
      <c r="E390" s="36">
        <v>5600</v>
      </c>
      <c r="F390" s="25">
        <v>22400</v>
      </c>
      <c r="G390" s="8"/>
      <c r="H390" s="8"/>
      <c r="I390" s="8"/>
    </row>
    <row r="391" spans="1:9" ht="13.5" hidden="1" customHeight="1" x14ac:dyDescent="0.2">
      <c r="A391" s="9" t="s">
        <v>322</v>
      </c>
      <c r="B391" s="10" t="s">
        <v>323</v>
      </c>
      <c r="C391" s="9" t="s">
        <v>11</v>
      </c>
      <c r="D391" s="25">
        <v>1</v>
      </c>
      <c r="E391" s="36">
        <v>6000</v>
      </c>
      <c r="F391" s="25">
        <v>6000</v>
      </c>
      <c r="G391" s="8"/>
      <c r="H391" s="8"/>
      <c r="I391" s="8"/>
    </row>
    <row r="392" spans="1:9" ht="13.5" hidden="1" customHeight="1" x14ac:dyDescent="0.2">
      <c r="A392" s="7">
        <v>4</v>
      </c>
      <c r="B392" s="7" t="s">
        <v>324</v>
      </c>
      <c r="C392" s="7" t="s">
        <v>11</v>
      </c>
      <c r="D392" s="24">
        <v>1</v>
      </c>
      <c r="E392" s="35">
        <v>352560</v>
      </c>
      <c r="F392" s="24">
        <f>SUM(F393:F396)</f>
        <v>352560</v>
      </c>
    </row>
    <row r="393" spans="1:9" ht="13.5" hidden="1" customHeight="1" x14ac:dyDescent="0.2">
      <c r="A393" s="11" t="s">
        <v>193</v>
      </c>
      <c r="B393" s="12" t="s">
        <v>37</v>
      </c>
      <c r="C393" s="11" t="s">
        <v>24</v>
      </c>
      <c r="D393" s="26">
        <v>1.6</v>
      </c>
      <c r="E393" s="37">
        <v>33600</v>
      </c>
      <c r="F393" s="26">
        <v>53760</v>
      </c>
    </row>
    <row r="394" spans="1:9" ht="13.5" hidden="1" customHeight="1" x14ac:dyDescent="0.2">
      <c r="A394" s="11" t="s">
        <v>195</v>
      </c>
      <c r="B394" s="12" t="s">
        <v>256</v>
      </c>
      <c r="C394" s="11" t="s">
        <v>24</v>
      </c>
      <c r="D394" s="26">
        <v>1</v>
      </c>
      <c r="E394" s="37">
        <v>33600</v>
      </c>
      <c r="F394" s="26">
        <v>33600</v>
      </c>
    </row>
    <row r="395" spans="1:9" ht="13.5" hidden="1" customHeight="1" x14ac:dyDescent="0.2">
      <c r="A395" s="11" t="s">
        <v>197</v>
      </c>
      <c r="B395" s="12" t="s">
        <v>33</v>
      </c>
      <c r="C395" s="11" t="s">
        <v>24</v>
      </c>
      <c r="D395" s="26">
        <v>6.6</v>
      </c>
      <c r="E395" s="37">
        <v>31200</v>
      </c>
      <c r="F395" s="26">
        <v>205920</v>
      </c>
    </row>
    <row r="396" spans="1:9" ht="13.5" hidden="1" customHeight="1" x14ac:dyDescent="0.2">
      <c r="A396" s="11" t="s">
        <v>199</v>
      </c>
      <c r="B396" s="12" t="s">
        <v>325</v>
      </c>
      <c r="C396" s="11" t="s">
        <v>24</v>
      </c>
      <c r="D396" s="26">
        <v>1.9</v>
      </c>
      <c r="E396" s="37">
        <v>31200</v>
      </c>
      <c r="F396" s="26">
        <v>59280</v>
      </c>
    </row>
    <row r="397" spans="1:9" ht="13.5" hidden="1" customHeight="1" x14ac:dyDescent="0.2">
      <c r="A397" s="7">
        <v>5</v>
      </c>
      <c r="B397" s="7" t="s">
        <v>326</v>
      </c>
      <c r="C397" s="7" t="s">
        <v>11</v>
      </c>
      <c r="D397" s="24">
        <v>1</v>
      </c>
      <c r="E397" s="35">
        <v>522446.99</v>
      </c>
      <c r="F397" s="24">
        <f>SUM(F398:F414)</f>
        <v>463676.59</v>
      </c>
    </row>
    <row r="398" spans="1:9" ht="13.5" hidden="1" customHeight="1" x14ac:dyDescent="0.2">
      <c r="A398" s="11" t="s">
        <v>203</v>
      </c>
      <c r="B398" s="12" t="s">
        <v>327</v>
      </c>
      <c r="C398" s="11" t="s">
        <v>17</v>
      </c>
      <c r="D398" s="26">
        <v>5</v>
      </c>
      <c r="E398" s="37">
        <v>1022.918</v>
      </c>
      <c r="F398" s="26">
        <v>5114.59</v>
      </c>
    </row>
    <row r="399" spans="1:9" ht="13.5" hidden="1" customHeight="1" x14ac:dyDescent="0.2">
      <c r="A399" s="11" t="s">
        <v>204</v>
      </c>
      <c r="B399" s="12" t="s">
        <v>328</v>
      </c>
      <c r="C399" s="11" t="s">
        <v>17</v>
      </c>
      <c r="D399" s="26">
        <v>221</v>
      </c>
      <c r="E399" s="37">
        <v>893.1</v>
      </c>
      <c r="F399" s="26">
        <v>197375.1</v>
      </c>
    </row>
    <row r="400" spans="1:9" ht="13.5" hidden="1" customHeight="1" x14ac:dyDescent="0.2">
      <c r="A400" s="11" t="s">
        <v>205</v>
      </c>
      <c r="B400" s="12" t="s">
        <v>329</v>
      </c>
      <c r="C400" s="11" t="s">
        <v>76</v>
      </c>
      <c r="D400" s="26">
        <v>1</v>
      </c>
      <c r="E400" s="37">
        <v>3900</v>
      </c>
      <c r="F400" s="26">
        <v>3900</v>
      </c>
    </row>
    <row r="401" spans="1:9" ht="13.5" hidden="1" customHeight="1" x14ac:dyDescent="0.2">
      <c r="A401" s="11" t="s">
        <v>206</v>
      </c>
      <c r="B401" s="12" t="s">
        <v>330</v>
      </c>
      <c r="C401" s="11" t="s">
        <v>76</v>
      </c>
      <c r="D401" s="26">
        <v>20</v>
      </c>
      <c r="E401" s="37">
        <v>1079</v>
      </c>
      <c r="F401" s="26">
        <v>21580</v>
      </c>
    </row>
    <row r="402" spans="1:9" ht="13.5" hidden="1" customHeight="1" x14ac:dyDescent="0.2">
      <c r="A402" s="11" t="s">
        <v>331</v>
      </c>
      <c r="B402" s="12" t="s">
        <v>332</v>
      </c>
      <c r="C402" s="11" t="s">
        <v>76</v>
      </c>
      <c r="D402" s="26">
        <v>27</v>
      </c>
      <c r="E402" s="37">
        <v>546</v>
      </c>
      <c r="F402" s="26">
        <v>14742</v>
      </c>
    </row>
    <row r="403" spans="1:9" ht="13.5" hidden="1" customHeight="1" x14ac:dyDescent="0.2">
      <c r="A403" s="11" t="s">
        <v>333</v>
      </c>
      <c r="B403" s="12" t="s">
        <v>334</v>
      </c>
      <c r="C403" s="11" t="s">
        <v>76</v>
      </c>
      <c r="D403" s="26">
        <v>40</v>
      </c>
      <c r="E403" s="37">
        <v>790.4</v>
      </c>
      <c r="F403" s="26">
        <v>31616</v>
      </c>
    </row>
    <row r="404" spans="1:9" ht="13.5" hidden="1" customHeight="1" x14ac:dyDescent="0.2">
      <c r="A404" s="11" t="s">
        <v>335</v>
      </c>
      <c r="B404" s="12" t="s">
        <v>336</v>
      </c>
      <c r="C404" s="11" t="s">
        <v>293</v>
      </c>
      <c r="D404" s="26">
        <v>62</v>
      </c>
      <c r="E404" s="37">
        <v>942.5</v>
      </c>
      <c r="F404" s="26">
        <v>58435</v>
      </c>
    </row>
    <row r="405" spans="1:9" ht="13.5" hidden="1" customHeight="1" x14ac:dyDescent="0.2">
      <c r="A405" s="11" t="s">
        <v>337</v>
      </c>
      <c r="B405" s="12" t="s">
        <v>338</v>
      </c>
      <c r="C405" s="11" t="s">
        <v>76</v>
      </c>
      <c r="D405" s="26">
        <v>11</v>
      </c>
      <c r="E405" s="37">
        <v>357.5</v>
      </c>
      <c r="F405" s="26">
        <v>3932.5</v>
      </c>
    </row>
    <row r="406" spans="1:9" ht="13.5" hidden="1" customHeight="1" x14ac:dyDescent="0.2">
      <c r="A406" s="11" t="s">
        <v>339</v>
      </c>
      <c r="B406" s="12" t="s">
        <v>340</v>
      </c>
      <c r="C406" s="11" t="s">
        <v>76</v>
      </c>
      <c r="D406" s="26">
        <v>38</v>
      </c>
      <c r="E406" s="37">
        <v>118.3</v>
      </c>
      <c r="F406" s="26">
        <v>4495.3999999999996</v>
      </c>
    </row>
    <row r="407" spans="1:9" ht="13.5" hidden="1" customHeight="1" x14ac:dyDescent="0.2">
      <c r="A407" s="11" t="s">
        <v>341</v>
      </c>
      <c r="B407" s="12" t="s">
        <v>342</v>
      </c>
      <c r="C407" s="11" t="s">
        <v>76</v>
      </c>
      <c r="D407" s="26">
        <v>8</v>
      </c>
      <c r="E407" s="37">
        <v>1300</v>
      </c>
      <c r="F407" s="26">
        <v>10400</v>
      </c>
    </row>
    <row r="408" spans="1:9" ht="13.5" hidden="1" customHeight="1" x14ac:dyDescent="0.2">
      <c r="A408" s="11" t="s">
        <v>343</v>
      </c>
      <c r="B408" s="12" t="s">
        <v>344</v>
      </c>
      <c r="C408" s="11" t="s">
        <v>76</v>
      </c>
      <c r="D408" s="26">
        <v>8</v>
      </c>
      <c r="E408" s="37">
        <v>1943.5</v>
      </c>
      <c r="F408" s="26">
        <v>15548</v>
      </c>
    </row>
    <row r="409" spans="1:9" ht="13.5" hidden="1" customHeight="1" x14ac:dyDescent="0.2">
      <c r="A409" s="11" t="s">
        <v>345</v>
      </c>
      <c r="B409" s="12" t="s">
        <v>346</v>
      </c>
      <c r="C409" s="11" t="s">
        <v>52</v>
      </c>
      <c r="D409" s="26">
        <v>3</v>
      </c>
      <c r="E409" s="37">
        <v>6500</v>
      </c>
      <c r="F409" s="26">
        <v>19500</v>
      </c>
    </row>
    <row r="410" spans="1:9" ht="13.5" hidden="1" customHeight="1" x14ac:dyDescent="0.2">
      <c r="A410" s="11" t="s">
        <v>347</v>
      </c>
      <c r="B410" s="12" t="s">
        <v>348</v>
      </c>
      <c r="C410" s="11" t="s">
        <v>76</v>
      </c>
      <c r="D410" s="26">
        <v>6</v>
      </c>
      <c r="E410" s="37">
        <v>741</v>
      </c>
      <c r="F410" s="26">
        <v>4446</v>
      </c>
    </row>
    <row r="411" spans="1:9" ht="13.5" hidden="1" customHeight="1" x14ac:dyDescent="0.2">
      <c r="A411" s="11" t="s">
        <v>349</v>
      </c>
      <c r="B411" s="12" t="s">
        <v>350</v>
      </c>
      <c r="C411" s="11" t="s">
        <v>76</v>
      </c>
      <c r="D411" s="26">
        <v>44</v>
      </c>
      <c r="E411" s="37">
        <v>598</v>
      </c>
      <c r="F411" s="26">
        <v>26312</v>
      </c>
    </row>
    <row r="412" spans="1:9" ht="13.5" hidden="1" customHeight="1" x14ac:dyDescent="0.2">
      <c r="A412" s="11" t="s">
        <v>351</v>
      </c>
      <c r="B412" s="12" t="s">
        <v>352</v>
      </c>
      <c r="C412" s="11" t="s">
        <v>76</v>
      </c>
      <c r="D412" s="26">
        <v>20</v>
      </c>
      <c r="E412" s="37">
        <v>364</v>
      </c>
      <c r="F412" s="26">
        <v>7280</v>
      </c>
    </row>
    <row r="413" spans="1:9" ht="13.5" hidden="1" customHeight="1" x14ac:dyDescent="0.2">
      <c r="A413" s="11" t="s">
        <v>353</v>
      </c>
      <c r="B413" s="12" t="s">
        <v>354</v>
      </c>
      <c r="C413" s="11" t="s">
        <v>76</v>
      </c>
      <c r="D413" s="26">
        <v>1</v>
      </c>
      <c r="E413" s="37">
        <v>26000</v>
      </c>
      <c r="F413" s="26">
        <v>26000</v>
      </c>
    </row>
    <row r="414" spans="1:9" ht="13.5" hidden="1" customHeight="1" x14ac:dyDescent="0.2">
      <c r="A414" s="11" t="s">
        <v>355</v>
      </c>
      <c r="B414" s="12" t="s">
        <v>356</v>
      </c>
      <c r="C414" s="11" t="s">
        <v>357</v>
      </c>
      <c r="D414" s="26">
        <v>1</v>
      </c>
      <c r="E414" s="37">
        <v>13000</v>
      </c>
      <c r="F414" s="26">
        <v>13000</v>
      </c>
    </row>
    <row r="415" spans="1:9" ht="13.5" hidden="1" customHeight="1" x14ac:dyDescent="0.2">
      <c r="A415" s="7">
        <v>6</v>
      </c>
      <c r="B415" s="7" t="s">
        <v>2</v>
      </c>
      <c r="C415" s="7" t="s">
        <v>11</v>
      </c>
      <c r="D415" s="24">
        <v>1</v>
      </c>
      <c r="E415" s="35">
        <v>13800</v>
      </c>
      <c r="F415" s="24">
        <v>13800</v>
      </c>
    </row>
    <row r="416" spans="1:9" ht="13.5" hidden="1" customHeight="1" x14ac:dyDescent="0.2">
      <c r="A416" s="17" t="s">
        <v>208</v>
      </c>
      <c r="B416" s="18" t="s">
        <v>358</v>
      </c>
      <c r="C416" s="17" t="s">
        <v>69</v>
      </c>
      <c r="D416" s="28">
        <v>1</v>
      </c>
      <c r="E416" s="39">
        <v>13800</v>
      </c>
      <c r="F416" s="28">
        <v>13800</v>
      </c>
      <c r="G416" s="16"/>
      <c r="H416" s="16"/>
      <c r="I416" s="16"/>
    </row>
    <row r="417" spans="1:9" ht="16.95" hidden="1" customHeight="1" x14ac:dyDescent="0.2"/>
    <row r="418" spans="1:9" ht="13.5" hidden="1" customHeight="1" x14ac:dyDescent="0.2">
      <c r="A418" s="2"/>
      <c r="B418" s="2"/>
      <c r="C418" s="19" t="s">
        <v>98</v>
      </c>
      <c r="D418" s="29"/>
      <c r="E418" s="40"/>
      <c r="F418" s="29">
        <v>1878735.39</v>
      </c>
    </row>
    <row r="419" spans="1:9" ht="13.5" hidden="1" customHeight="1" x14ac:dyDescent="0.2">
      <c r="C419" s="3" t="s">
        <v>99</v>
      </c>
      <c r="D419" s="30" t="s">
        <v>100</v>
      </c>
      <c r="F419" s="30">
        <v>908938.4</v>
      </c>
    </row>
    <row r="420" spans="1:9" ht="13.5" hidden="1" customHeight="1" x14ac:dyDescent="0.2">
      <c r="D420" s="30" t="s">
        <v>101</v>
      </c>
      <c r="F420" s="30">
        <v>969796.98999999987</v>
      </c>
    </row>
    <row r="421" spans="1:9" ht="11.4" hidden="1" x14ac:dyDescent="0.2">
      <c r="C421" s="19" t="s">
        <v>102</v>
      </c>
      <c r="D421" s="29"/>
      <c r="E421" s="40"/>
      <c r="F421" s="29">
        <f>F383+F392+F397+F415</f>
        <v>1500414.9900000002</v>
      </c>
    </row>
    <row r="422" spans="1:9" ht="16.95" hidden="1" customHeight="1" x14ac:dyDescent="0.2"/>
    <row r="423" spans="1:9" ht="13.5" customHeight="1" x14ac:dyDescent="0.25">
      <c r="A423" s="4" t="s">
        <v>359</v>
      </c>
      <c r="D423" s="30" t="s">
        <v>17</v>
      </c>
      <c r="E423" s="33">
        <f>F470/417.6</f>
        <v>8760.0332064176255</v>
      </c>
    </row>
    <row r="424" spans="1:9" ht="13.5" hidden="1" customHeight="1" x14ac:dyDescent="0.2">
      <c r="A424" s="5" t="s">
        <v>5</v>
      </c>
      <c r="B424" s="5" t="s">
        <v>6</v>
      </c>
      <c r="C424" s="6" t="s">
        <v>7</v>
      </c>
      <c r="D424" s="23" t="s">
        <v>8</v>
      </c>
      <c r="E424" s="34" t="s">
        <v>9</v>
      </c>
      <c r="F424" s="23" t="s">
        <v>10</v>
      </c>
    </row>
    <row r="425" spans="1:9" ht="13.5" hidden="1" customHeight="1" x14ac:dyDescent="0.2">
      <c r="A425" s="7">
        <v>1</v>
      </c>
      <c r="B425" s="7" t="s">
        <v>0</v>
      </c>
      <c r="C425" s="7" t="s">
        <v>11</v>
      </c>
      <c r="D425" s="24">
        <v>1</v>
      </c>
      <c r="E425" s="35">
        <v>1900132</v>
      </c>
      <c r="F425" s="24">
        <f>SUM(F426:F435)</f>
        <v>1790932</v>
      </c>
    </row>
    <row r="426" spans="1:9" ht="13.5" hidden="1" customHeight="1" x14ac:dyDescent="0.2">
      <c r="A426" s="9" t="s">
        <v>12</v>
      </c>
      <c r="B426" s="10" t="s">
        <v>309</v>
      </c>
      <c r="C426" s="9" t="s">
        <v>17</v>
      </c>
      <c r="D426" s="25">
        <v>417.6</v>
      </c>
      <c r="E426" s="36">
        <v>1170</v>
      </c>
      <c r="F426" s="25">
        <v>488592</v>
      </c>
      <c r="G426" s="8"/>
      <c r="H426" s="8"/>
      <c r="I426" s="8"/>
    </row>
    <row r="427" spans="1:9" ht="13.5" hidden="1" customHeight="1" x14ac:dyDescent="0.2">
      <c r="A427" s="9" t="s">
        <v>15</v>
      </c>
      <c r="B427" s="10" t="s">
        <v>198</v>
      </c>
      <c r="C427" s="9" t="s">
        <v>17</v>
      </c>
      <c r="D427" s="25">
        <v>417.6</v>
      </c>
      <c r="E427" s="36">
        <v>130</v>
      </c>
      <c r="F427" s="25">
        <v>54288</v>
      </c>
      <c r="G427" s="8"/>
      <c r="H427" s="8"/>
      <c r="I427" s="8"/>
    </row>
    <row r="428" spans="1:9" ht="13.5" hidden="1" customHeight="1" x14ac:dyDescent="0.2">
      <c r="A428" s="9" t="s">
        <v>18</v>
      </c>
      <c r="B428" s="10" t="s">
        <v>360</v>
      </c>
      <c r="C428" s="9" t="s">
        <v>17</v>
      </c>
      <c r="D428" s="25">
        <v>100</v>
      </c>
      <c r="E428" s="36">
        <v>325</v>
      </c>
      <c r="F428" s="25">
        <v>32500</v>
      </c>
      <c r="G428" s="8"/>
      <c r="H428" s="8"/>
      <c r="I428" s="8"/>
    </row>
    <row r="429" spans="1:9" ht="13.5" hidden="1" customHeight="1" x14ac:dyDescent="0.2">
      <c r="A429" s="9" t="s">
        <v>20</v>
      </c>
      <c r="B429" s="10" t="s">
        <v>361</v>
      </c>
      <c r="C429" s="9" t="s">
        <v>17</v>
      </c>
      <c r="D429" s="25">
        <v>100</v>
      </c>
      <c r="E429" s="36">
        <v>416</v>
      </c>
      <c r="F429" s="25">
        <v>41600</v>
      </c>
      <c r="G429" s="8"/>
      <c r="H429" s="8"/>
      <c r="I429" s="8"/>
    </row>
    <row r="430" spans="1:9" ht="13.5" hidden="1" customHeight="1" x14ac:dyDescent="0.2">
      <c r="A430" s="9" t="s">
        <v>22</v>
      </c>
      <c r="B430" s="10" t="s">
        <v>362</v>
      </c>
      <c r="C430" s="9" t="s">
        <v>17</v>
      </c>
      <c r="D430" s="25">
        <v>417.6</v>
      </c>
      <c r="E430" s="36">
        <v>325</v>
      </c>
      <c r="F430" s="25">
        <v>135720</v>
      </c>
      <c r="G430" s="8"/>
      <c r="H430" s="8"/>
      <c r="I430" s="8"/>
    </row>
    <row r="431" spans="1:9" ht="13.5" hidden="1" customHeight="1" x14ac:dyDescent="0.2">
      <c r="A431" s="9" t="s">
        <v>25</v>
      </c>
      <c r="B431" s="10" t="s">
        <v>248</v>
      </c>
      <c r="C431" s="9" t="s">
        <v>17</v>
      </c>
      <c r="D431" s="25">
        <v>417.6</v>
      </c>
      <c r="E431" s="36">
        <v>325</v>
      </c>
      <c r="F431" s="25">
        <v>135720</v>
      </c>
      <c r="G431" s="8"/>
      <c r="H431" s="8"/>
      <c r="I431" s="8"/>
    </row>
    <row r="432" spans="1:9" ht="13.5" hidden="1" customHeight="1" x14ac:dyDescent="0.2">
      <c r="A432" s="9" t="s">
        <v>27</v>
      </c>
      <c r="B432" s="10" t="s">
        <v>246</v>
      </c>
      <c r="C432" s="9" t="s">
        <v>17</v>
      </c>
      <c r="D432" s="25">
        <v>417.6</v>
      </c>
      <c r="E432" s="36">
        <v>130</v>
      </c>
      <c r="F432" s="25">
        <v>54288</v>
      </c>
      <c r="G432" s="8"/>
      <c r="H432" s="8"/>
      <c r="I432" s="8"/>
    </row>
    <row r="433" spans="1:9" ht="13.5" hidden="1" customHeight="1" x14ac:dyDescent="0.2">
      <c r="A433" s="9" t="s">
        <v>113</v>
      </c>
      <c r="B433" s="10" t="s">
        <v>363</v>
      </c>
      <c r="C433" s="9" t="s">
        <v>17</v>
      </c>
      <c r="D433" s="25">
        <v>417.6</v>
      </c>
      <c r="E433" s="36">
        <v>1690</v>
      </c>
      <c r="F433" s="25">
        <v>705744</v>
      </c>
      <c r="G433" s="8"/>
      <c r="H433" s="8"/>
      <c r="I433" s="8"/>
    </row>
    <row r="434" spans="1:9" ht="13.5" hidden="1" customHeight="1" x14ac:dyDescent="0.2">
      <c r="A434" s="9" t="s">
        <v>115</v>
      </c>
      <c r="B434" s="10" t="s">
        <v>364</v>
      </c>
      <c r="C434" s="9" t="s">
        <v>156</v>
      </c>
      <c r="D434" s="25">
        <v>350</v>
      </c>
      <c r="E434" s="36">
        <v>260</v>
      </c>
      <c r="F434" s="25">
        <v>91000</v>
      </c>
      <c r="G434" s="8"/>
      <c r="H434" s="8"/>
      <c r="I434" s="8"/>
    </row>
    <row r="435" spans="1:9" ht="13.5" hidden="1" customHeight="1" x14ac:dyDescent="0.2">
      <c r="A435" s="9" t="s">
        <v>121</v>
      </c>
      <c r="B435" s="10" t="s">
        <v>365</v>
      </c>
      <c r="C435" s="9" t="s">
        <v>17</v>
      </c>
      <c r="D435" s="25">
        <v>72</v>
      </c>
      <c r="E435" s="36">
        <v>715</v>
      </c>
      <c r="F435" s="25">
        <v>51480</v>
      </c>
      <c r="G435" s="8"/>
      <c r="H435" s="8"/>
      <c r="I435" s="8"/>
    </row>
    <row r="436" spans="1:9" ht="13.5" hidden="1" customHeight="1" x14ac:dyDescent="0.2">
      <c r="A436" s="7">
        <v>2</v>
      </c>
      <c r="B436" s="7" t="s">
        <v>366</v>
      </c>
      <c r="C436" s="7" t="s">
        <v>11</v>
      </c>
      <c r="D436" s="24">
        <v>1</v>
      </c>
      <c r="E436" s="35">
        <v>566280</v>
      </c>
      <c r="F436" s="24">
        <f>SUM(F437:F439)</f>
        <v>566280</v>
      </c>
    </row>
    <row r="437" spans="1:9" ht="13.5" hidden="1" customHeight="1" x14ac:dyDescent="0.2">
      <c r="A437" s="11" t="s">
        <v>30</v>
      </c>
      <c r="B437" s="12" t="s">
        <v>367</v>
      </c>
      <c r="C437" s="11" t="s">
        <v>24</v>
      </c>
      <c r="D437" s="26">
        <v>11</v>
      </c>
      <c r="E437" s="37">
        <v>28600</v>
      </c>
      <c r="F437" s="26">
        <v>314600</v>
      </c>
    </row>
    <row r="438" spans="1:9" ht="13.5" hidden="1" customHeight="1" x14ac:dyDescent="0.2">
      <c r="A438" s="11" t="s">
        <v>32</v>
      </c>
      <c r="B438" s="12" t="s">
        <v>256</v>
      </c>
      <c r="C438" s="11" t="s">
        <v>24</v>
      </c>
      <c r="D438" s="26">
        <v>3.1</v>
      </c>
      <c r="E438" s="37">
        <v>28600</v>
      </c>
      <c r="F438" s="26">
        <v>88660</v>
      </c>
    </row>
    <row r="439" spans="1:9" ht="13.5" hidden="1" customHeight="1" x14ac:dyDescent="0.2">
      <c r="A439" s="11" t="s">
        <v>34</v>
      </c>
      <c r="B439" s="12" t="s">
        <v>368</v>
      </c>
      <c r="C439" s="11" t="s">
        <v>24</v>
      </c>
      <c r="D439" s="26">
        <v>5.7</v>
      </c>
      <c r="E439" s="37">
        <v>28600</v>
      </c>
      <c r="F439" s="26">
        <v>163020</v>
      </c>
    </row>
    <row r="440" spans="1:9" ht="13.5" hidden="1" customHeight="1" x14ac:dyDescent="0.2">
      <c r="A440" s="7">
        <v>3</v>
      </c>
      <c r="B440" s="7" t="s">
        <v>369</v>
      </c>
      <c r="C440" s="7" t="s">
        <v>11</v>
      </c>
      <c r="D440" s="24">
        <v>1</v>
      </c>
      <c r="E440" s="35">
        <v>1411912.138000001</v>
      </c>
      <c r="F440" s="24">
        <f>SUM(F441:F463)</f>
        <v>1260177.8670000003</v>
      </c>
    </row>
    <row r="441" spans="1:9" ht="13.5" hidden="1" customHeight="1" x14ac:dyDescent="0.2">
      <c r="A441" s="11" t="s">
        <v>60</v>
      </c>
      <c r="B441" s="12" t="s">
        <v>370</v>
      </c>
      <c r="C441" s="11" t="s">
        <v>17</v>
      </c>
      <c r="D441" s="26">
        <v>500</v>
      </c>
      <c r="E441" s="37">
        <v>995.44899999999996</v>
      </c>
      <c r="F441" s="26">
        <v>497724.5</v>
      </c>
    </row>
    <row r="442" spans="1:9" ht="13.5" hidden="1" customHeight="1" x14ac:dyDescent="0.2">
      <c r="A442" s="11" t="s">
        <v>63</v>
      </c>
      <c r="B442" s="12" t="s">
        <v>371</v>
      </c>
      <c r="C442" s="11" t="s">
        <v>85</v>
      </c>
      <c r="D442" s="26">
        <v>7</v>
      </c>
      <c r="E442" s="37">
        <v>1121.692</v>
      </c>
      <c r="F442" s="26">
        <v>7851.8440000000001</v>
      </c>
    </row>
    <row r="443" spans="1:9" ht="13.5" hidden="1" customHeight="1" x14ac:dyDescent="0.2">
      <c r="A443" s="11" t="s">
        <v>65</v>
      </c>
      <c r="B443" s="12" t="s">
        <v>372</v>
      </c>
      <c r="C443" s="11" t="s">
        <v>85</v>
      </c>
      <c r="D443" s="26">
        <v>6</v>
      </c>
      <c r="E443" s="37">
        <v>820.13099999999997</v>
      </c>
      <c r="F443" s="26">
        <v>4920.7860000000001</v>
      </c>
    </row>
    <row r="444" spans="1:9" ht="13.5" hidden="1" customHeight="1" x14ac:dyDescent="0.2">
      <c r="A444" s="11" t="s">
        <v>67</v>
      </c>
      <c r="B444" s="12" t="s">
        <v>373</v>
      </c>
      <c r="C444" s="11" t="s">
        <v>76</v>
      </c>
      <c r="D444" s="26">
        <v>178</v>
      </c>
      <c r="E444" s="37">
        <v>136.12299999999999</v>
      </c>
      <c r="F444" s="26">
        <v>24229.894</v>
      </c>
    </row>
    <row r="445" spans="1:9" ht="13.5" hidden="1" customHeight="1" x14ac:dyDescent="0.2">
      <c r="A445" s="11" t="s">
        <v>312</v>
      </c>
      <c r="B445" s="12" t="s">
        <v>374</v>
      </c>
      <c r="C445" s="11" t="s">
        <v>76</v>
      </c>
      <c r="D445" s="26">
        <v>23</v>
      </c>
      <c r="E445" s="37">
        <v>2088.944</v>
      </c>
      <c r="F445" s="26">
        <v>48045.712</v>
      </c>
    </row>
    <row r="446" spans="1:9" ht="13.5" hidden="1" customHeight="1" x14ac:dyDescent="0.2">
      <c r="A446" s="11" t="s">
        <v>314</v>
      </c>
      <c r="B446" s="12" t="s">
        <v>375</v>
      </c>
      <c r="C446" s="11" t="s">
        <v>76</v>
      </c>
      <c r="D446" s="26">
        <v>31</v>
      </c>
      <c r="E446" s="37">
        <v>815.72400000000005</v>
      </c>
      <c r="F446" s="26">
        <v>25287.444</v>
      </c>
    </row>
    <row r="447" spans="1:9" ht="13.5" hidden="1" customHeight="1" x14ac:dyDescent="0.2">
      <c r="A447" s="11" t="s">
        <v>316</v>
      </c>
      <c r="B447" s="12" t="s">
        <v>376</v>
      </c>
      <c r="C447" s="11" t="s">
        <v>76</v>
      </c>
      <c r="D447" s="26">
        <v>37</v>
      </c>
      <c r="E447" s="37">
        <v>751.84199999999998</v>
      </c>
      <c r="F447" s="26">
        <v>27818.153999999999</v>
      </c>
    </row>
    <row r="448" spans="1:9" ht="13.5" hidden="1" customHeight="1" x14ac:dyDescent="0.2">
      <c r="A448" s="11" t="s">
        <v>318</v>
      </c>
      <c r="B448" s="12" t="s">
        <v>377</v>
      </c>
      <c r="C448" s="11" t="s">
        <v>76</v>
      </c>
      <c r="D448" s="26">
        <v>25</v>
      </c>
      <c r="E448" s="37">
        <v>544.46600000000001</v>
      </c>
      <c r="F448" s="26">
        <v>13611.65</v>
      </c>
    </row>
    <row r="449" spans="1:6" ht="13.5" hidden="1" customHeight="1" x14ac:dyDescent="0.2">
      <c r="A449" s="11" t="s">
        <v>320</v>
      </c>
      <c r="B449" s="12" t="s">
        <v>378</v>
      </c>
      <c r="C449" s="11" t="s">
        <v>76</v>
      </c>
      <c r="D449" s="26">
        <v>21</v>
      </c>
      <c r="E449" s="37">
        <v>1057.498</v>
      </c>
      <c r="F449" s="26">
        <v>22207.457999999999</v>
      </c>
    </row>
    <row r="450" spans="1:6" ht="13.5" hidden="1" customHeight="1" x14ac:dyDescent="0.2">
      <c r="A450" s="11" t="s">
        <v>322</v>
      </c>
      <c r="B450" s="12" t="s">
        <v>379</v>
      </c>
      <c r="C450" s="11" t="s">
        <v>76</v>
      </c>
      <c r="D450" s="26">
        <v>38</v>
      </c>
      <c r="E450" s="37">
        <v>385.255</v>
      </c>
      <c r="F450" s="26">
        <v>14639.69</v>
      </c>
    </row>
    <row r="451" spans="1:6" ht="13.5" hidden="1" customHeight="1" x14ac:dyDescent="0.2">
      <c r="A451" s="11" t="s">
        <v>380</v>
      </c>
      <c r="B451" s="12" t="s">
        <v>381</v>
      </c>
      <c r="C451" s="11" t="s">
        <v>76</v>
      </c>
      <c r="D451" s="26">
        <v>22</v>
      </c>
      <c r="E451" s="37">
        <v>1340.0530000000001</v>
      </c>
      <c r="F451" s="26">
        <v>29481.166000000001</v>
      </c>
    </row>
    <row r="452" spans="1:6" ht="13.5" hidden="1" customHeight="1" x14ac:dyDescent="0.2">
      <c r="A452" s="11" t="s">
        <v>382</v>
      </c>
      <c r="B452" s="12" t="s">
        <v>383</v>
      </c>
      <c r="C452" s="11" t="s">
        <v>293</v>
      </c>
      <c r="D452" s="26">
        <v>136</v>
      </c>
      <c r="E452" s="37">
        <v>751.84199999999998</v>
      </c>
      <c r="F452" s="26">
        <v>102250.512</v>
      </c>
    </row>
    <row r="453" spans="1:6" ht="13.5" hidden="1" customHeight="1" x14ac:dyDescent="0.2">
      <c r="A453" s="11" t="s">
        <v>384</v>
      </c>
      <c r="B453" s="12" t="s">
        <v>385</v>
      </c>
      <c r="C453" s="11" t="s">
        <v>76</v>
      </c>
      <c r="D453" s="26">
        <v>9</v>
      </c>
      <c r="E453" s="37">
        <v>1642.68</v>
      </c>
      <c r="F453" s="26">
        <v>14784.12</v>
      </c>
    </row>
    <row r="454" spans="1:6" ht="13.5" hidden="1" customHeight="1" x14ac:dyDescent="0.2">
      <c r="A454" s="11" t="s">
        <v>386</v>
      </c>
      <c r="B454" s="12" t="s">
        <v>338</v>
      </c>
      <c r="C454" s="11" t="s">
        <v>76</v>
      </c>
      <c r="D454" s="26">
        <v>10</v>
      </c>
      <c r="E454" s="37">
        <v>357.5</v>
      </c>
      <c r="F454" s="26">
        <v>3575</v>
      </c>
    </row>
    <row r="455" spans="1:6" ht="13.5" hidden="1" customHeight="1" x14ac:dyDescent="0.2">
      <c r="A455" s="11" t="s">
        <v>387</v>
      </c>
      <c r="B455" s="12" t="s">
        <v>213</v>
      </c>
      <c r="C455" s="11" t="s">
        <v>85</v>
      </c>
      <c r="D455" s="26">
        <v>35</v>
      </c>
      <c r="E455" s="37">
        <v>2659.904</v>
      </c>
      <c r="F455" s="26">
        <v>93096.639999999999</v>
      </c>
    </row>
    <row r="456" spans="1:6" ht="13.5" hidden="1" customHeight="1" x14ac:dyDescent="0.2">
      <c r="A456" s="11" t="s">
        <v>388</v>
      </c>
      <c r="B456" s="12" t="s">
        <v>389</v>
      </c>
      <c r="C456" s="11" t="s">
        <v>52</v>
      </c>
      <c r="D456" s="26">
        <v>7</v>
      </c>
      <c r="E456" s="37">
        <v>8934.3539999999994</v>
      </c>
      <c r="F456" s="26">
        <v>62540.478000000003</v>
      </c>
    </row>
    <row r="457" spans="1:6" ht="13.5" hidden="1" customHeight="1" x14ac:dyDescent="0.2">
      <c r="A457" s="11" t="s">
        <v>390</v>
      </c>
      <c r="B457" s="12" t="s">
        <v>391</v>
      </c>
      <c r="C457" s="11" t="s">
        <v>76</v>
      </c>
      <c r="D457" s="26">
        <v>2</v>
      </c>
      <c r="E457" s="37">
        <v>3924.18</v>
      </c>
      <c r="F457" s="26">
        <v>7848.36</v>
      </c>
    </row>
    <row r="458" spans="1:6" ht="13.5" hidden="1" customHeight="1" x14ac:dyDescent="0.2">
      <c r="A458" s="11" t="s">
        <v>392</v>
      </c>
      <c r="B458" s="12" t="s">
        <v>393</v>
      </c>
      <c r="C458" s="11" t="s">
        <v>52</v>
      </c>
      <c r="D458" s="26">
        <v>20</v>
      </c>
      <c r="E458" s="37">
        <v>2137.85</v>
      </c>
      <c r="F458" s="26">
        <v>42757</v>
      </c>
    </row>
    <row r="459" spans="1:6" ht="13.5" hidden="1" customHeight="1" x14ac:dyDescent="0.2">
      <c r="A459" s="11" t="s">
        <v>394</v>
      </c>
      <c r="B459" s="12" t="s">
        <v>395</v>
      </c>
      <c r="C459" s="11" t="s">
        <v>76</v>
      </c>
      <c r="D459" s="26">
        <v>27</v>
      </c>
      <c r="E459" s="37">
        <v>822.61400000000003</v>
      </c>
      <c r="F459" s="26">
        <v>22210.578000000001</v>
      </c>
    </row>
    <row r="460" spans="1:6" ht="13.5" hidden="1" customHeight="1" x14ac:dyDescent="0.2">
      <c r="A460" s="11" t="s">
        <v>396</v>
      </c>
      <c r="B460" s="12" t="s">
        <v>397</v>
      </c>
      <c r="C460" s="11" t="s">
        <v>52</v>
      </c>
      <c r="D460" s="26">
        <v>13</v>
      </c>
      <c r="E460" s="37">
        <v>8845.2000000000007</v>
      </c>
      <c r="F460" s="26">
        <v>114987.6</v>
      </c>
    </row>
    <row r="461" spans="1:6" ht="13.5" hidden="1" customHeight="1" x14ac:dyDescent="0.2">
      <c r="A461" s="11" t="s">
        <v>398</v>
      </c>
      <c r="B461" s="12" t="s">
        <v>399</v>
      </c>
      <c r="C461" s="11" t="s">
        <v>76</v>
      </c>
      <c r="D461" s="26">
        <v>80</v>
      </c>
      <c r="E461" s="37">
        <v>560.74199999999996</v>
      </c>
      <c r="F461" s="26">
        <v>44859.360000000001</v>
      </c>
    </row>
    <row r="462" spans="1:6" ht="13.5" hidden="1" customHeight="1" x14ac:dyDescent="0.2">
      <c r="A462" s="11" t="s">
        <v>400</v>
      </c>
      <c r="B462" s="12" t="s">
        <v>401</v>
      </c>
      <c r="C462" s="11" t="s">
        <v>76</v>
      </c>
      <c r="D462" s="26">
        <v>51</v>
      </c>
      <c r="E462" s="37">
        <v>346.02100000000002</v>
      </c>
      <c r="F462" s="26">
        <v>17647.071</v>
      </c>
    </row>
    <row r="463" spans="1:6" ht="13.5" hidden="1" customHeight="1" x14ac:dyDescent="0.2">
      <c r="A463" s="11" t="s">
        <v>402</v>
      </c>
      <c r="B463" s="12" t="s">
        <v>403</v>
      </c>
      <c r="C463" s="11" t="s">
        <v>76</v>
      </c>
      <c r="D463" s="26">
        <v>25</v>
      </c>
      <c r="E463" s="37">
        <v>712.11400000000003</v>
      </c>
      <c r="F463" s="26">
        <v>17802.849999999999</v>
      </c>
    </row>
    <row r="464" spans="1:6" ht="13.5" hidden="1" customHeight="1" x14ac:dyDescent="0.2">
      <c r="A464" s="7">
        <v>4</v>
      </c>
      <c r="B464" s="7" t="s">
        <v>282</v>
      </c>
      <c r="C464" s="7" t="s">
        <v>69</v>
      </c>
      <c r="D464" s="24">
        <v>1</v>
      </c>
      <c r="E464" s="35">
        <v>40800</v>
      </c>
      <c r="F464" s="24">
        <v>40800</v>
      </c>
    </row>
    <row r="465" spans="1:9" ht="13.5" hidden="1" customHeight="1" x14ac:dyDescent="0.2">
      <c r="A465" s="17" t="s">
        <v>193</v>
      </c>
      <c r="B465" s="18" t="s">
        <v>404</v>
      </c>
      <c r="C465" s="17" t="s">
        <v>69</v>
      </c>
      <c r="D465" s="28">
        <v>2</v>
      </c>
      <c r="E465" s="39">
        <v>20400</v>
      </c>
      <c r="F465" s="28">
        <v>40800</v>
      </c>
      <c r="G465" s="16"/>
      <c r="H465" s="16"/>
      <c r="I465" s="16"/>
    </row>
    <row r="466" spans="1:9" ht="16.95" hidden="1" customHeight="1" x14ac:dyDescent="0.2"/>
    <row r="467" spans="1:9" ht="13.5" hidden="1" customHeight="1" x14ac:dyDescent="0.2">
      <c r="A467" s="2"/>
      <c r="B467" s="2"/>
      <c r="C467" s="19" t="s">
        <v>98</v>
      </c>
      <c r="D467" s="29"/>
      <c r="E467" s="40"/>
      <c r="F467" s="29">
        <v>3919124.1380000012</v>
      </c>
    </row>
    <row r="468" spans="1:9" ht="13.5" hidden="1" customHeight="1" x14ac:dyDescent="0.2">
      <c r="C468" s="3" t="s">
        <v>99</v>
      </c>
      <c r="D468" s="30" t="s">
        <v>100</v>
      </c>
      <c r="F468" s="30">
        <v>1900132</v>
      </c>
    </row>
    <row r="469" spans="1:9" ht="13.5" hidden="1" customHeight="1" x14ac:dyDescent="0.2">
      <c r="D469" s="30" t="s">
        <v>101</v>
      </c>
      <c r="F469" s="30">
        <v>2018992.138</v>
      </c>
    </row>
    <row r="470" spans="1:9" ht="11.4" hidden="1" x14ac:dyDescent="0.2">
      <c r="C470" s="19" t="s">
        <v>102</v>
      </c>
      <c r="D470" s="29"/>
      <c r="E470" s="40"/>
      <c r="F470" s="29">
        <f>F425+F436+F440+F464</f>
        <v>3658189.8670000006</v>
      </c>
    </row>
    <row r="471" spans="1:9" ht="16.95" hidden="1" customHeight="1" x14ac:dyDescent="0.2"/>
    <row r="472" spans="1:9" ht="13.5" customHeight="1" x14ac:dyDescent="0.25">
      <c r="A472" s="4" t="s">
        <v>405</v>
      </c>
      <c r="D472" s="30" t="s">
        <v>156</v>
      </c>
      <c r="E472" s="33">
        <f>F491/64</f>
        <v>2888.7402187500002</v>
      </c>
    </row>
    <row r="473" spans="1:9" ht="13.5" hidden="1" customHeight="1" x14ac:dyDescent="0.2">
      <c r="A473" s="5" t="s">
        <v>5</v>
      </c>
      <c r="B473" s="5" t="s">
        <v>6</v>
      </c>
      <c r="C473" s="6" t="s">
        <v>7</v>
      </c>
      <c r="D473" s="23" t="s">
        <v>8</v>
      </c>
      <c r="E473" s="34" t="s">
        <v>9</v>
      </c>
      <c r="F473" s="23" t="s">
        <v>10</v>
      </c>
    </row>
    <row r="474" spans="1:9" ht="13.5" hidden="1" customHeight="1" x14ac:dyDescent="0.2">
      <c r="A474" s="9">
        <v>1</v>
      </c>
      <c r="B474" s="9" t="s">
        <v>317</v>
      </c>
      <c r="C474" s="9" t="s">
        <v>74</v>
      </c>
      <c r="D474" s="25">
        <v>64</v>
      </c>
      <c r="E474" s="36">
        <v>825</v>
      </c>
      <c r="F474" s="25">
        <v>52800</v>
      </c>
      <c r="G474" s="8"/>
      <c r="H474" s="8"/>
      <c r="I474" s="8"/>
    </row>
    <row r="475" spans="1:9" ht="13.5" hidden="1" customHeight="1" x14ac:dyDescent="0.2">
      <c r="A475" s="9">
        <v>2</v>
      </c>
      <c r="B475" s="9" t="s">
        <v>319</v>
      </c>
      <c r="C475" s="9" t="s">
        <v>156</v>
      </c>
      <c r="D475" s="25">
        <v>45</v>
      </c>
      <c r="E475" s="36">
        <v>750</v>
      </c>
      <c r="F475" s="25">
        <v>33750</v>
      </c>
      <c r="G475" s="8"/>
      <c r="H475" s="8"/>
      <c r="I475" s="8"/>
    </row>
    <row r="476" spans="1:9" ht="13.5" hidden="1" customHeight="1" x14ac:dyDescent="0.2">
      <c r="A476" s="11">
        <v>3</v>
      </c>
      <c r="B476" s="11" t="s">
        <v>406</v>
      </c>
      <c r="C476" s="11" t="s">
        <v>76</v>
      </c>
      <c r="D476" s="26">
        <v>6</v>
      </c>
      <c r="E476" s="37">
        <v>390.26</v>
      </c>
      <c r="F476" s="26">
        <v>2341.56</v>
      </c>
    </row>
    <row r="477" spans="1:9" ht="13.5" hidden="1" customHeight="1" x14ac:dyDescent="0.2">
      <c r="A477" s="11">
        <v>4</v>
      </c>
      <c r="B477" s="11" t="s">
        <v>407</v>
      </c>
      <c r="C477" s="11" t="s">
        <v>76</v>
      </c>
      <c r="D477" s="26">
        <v>15</v>
      </c>
      <c r="E477" s="37">
        <v>785.34299999999996</v>
      </c>
      <c r="F477" s="26">
        <v>11780.145</v>
      </c>
    </row>
    <row r="478" spans="1:9" ht="13.5" hidden="1" customHeight="1" x14ac:dyDescent="0.2">
      <c r="A478" s="11">
        <v>5</v>
      </c>
      <c r="B478" s="11" t="s">
        <v>408</v>
      </c>
      <c r="C478" s="11" t="s">
        <v>76</v>
      </c>
      <c r="D478" s="26">
        <v>2</v>
      </c>
      <c r="E478" s="37">
        <v>112.42400000000001</v>
      </c>
      <c r="F478" s="26">
        <v>224.84800000000001</v>
      </c>
    </row>
    <row r="479" spans="1:9" ht="13.5" hidden="1" customHeight="1" x14ac:dyDescent="0.2">
      <c r="A479" s="11">
        <v>6</v>
      </c>
      <c r="B479" s="11" t="s">
        <v>409</v>
      </c>
      <c r="C479" s="11" t="s">
        <v>76</v>
      </c>
      <c r="D479" s="26">
        <v>12</v>
      </c>
      <c r="E479" s="37">
        <v>248.93700000000001</v>
      </c>
      <c r="F479" s="26">
        <v>2987.2440000000001</v>
      </c>
    </row>
    <row r="480" spans="1:9" ht="13.5" hidden="1" customHeight="1" x14ac:dyDescent="0.2">
      <c r="A480" s="11">
        <v>7</v>
      </c>
      <c r="B480" s="11" t="s">
        <v>410</v>
      </c>
      <c r="C480" s="11" t="s">
        <v>76</v>
      </c>
      <c r="D480" s="26">
        <v>6</v>
      </c>
      <c r="E480" s="37">
        <v>216.81399999999999</v>
      </c>
      <c r="F480" s="26">
        <v>1300.884</v>
      </c>
    </row>
    <row r="481" spans="1:9" ht="13.5" hidden="1" customHeight="1" x14ac:dyDescent="0.2">
      <c r="A481" s="11">
        <v>8</v>
      </c>
      <c r="B481" s="11" t="s">
        <v>411</v>
      </c>
      <c r="C481" s="11" t="s">
        <v>76</v>
      </c>
      <c r="D481" s="26">
        <v>15</v>
      </c>
      <c r="E481" s="37">
        <v>610.28499999999997</v>
      </c>
      <c r="F481" s="26">
        <v>9154.2749999999996</v>
      </c>
    </row>
    <row r="482" spans="1:9" ht="13.5" hidden="1" customHeight="1" x14ac:dyDescent="0.2">
      <c r="A482" s="11">
        <v>9</v>
      </c>
      <c r="B482" s="11" t="s">
        <v>412</v>
      </c>
      <c r="C482" s="11" t="s">
        <v>76</v>
      </c>
      <c r="D482" s="26">
        <v>13</v>
      </c>
      <c r="E482" s="37">
        <v>6.4219999999999997</v>
      </c>
      <c r="F482" s="26">
        <v>83.486000000000004</v>
      </c>
    </row>
    <row r="483" spans="1:9" ht="13.5" hidden="1" customHeight="1" x14ac:dyDescent="0.2">
      <c r="A483" s="11">
        <v>10</v>
      </c>
      <c r="B483" s="11" t="s">
        <v>413</v>
      </c>
      <c r="C483" s="11" t="s">
        <v>76</v>
      </c>
      <c r="D483" s="26">
        <v>6</v>
      </c>
      <c r="E483" s="37">
        <v>112.42400000000001</v>
      </c>
      <c r="F483" s="26">
        <v>674.54399999999998</v>
      </c>
    </row>
    <row r="484" spans="1:9" ht="13.5" hidden="1" customHeight="1" x14ac:dyDescent="0.2">
      <c r="A484" s="11">
        <v>11</v>
      </c>
      <c r="B484" s="11" t="s">
        <v>414</v>
      </c>
      <c r="C484" s="11" t="s">
        <v>76</v>
      </c>
      <c r="D484" s="26">
        <v>36</v>
      </c>
      <c r="E484" s="37">
        <v>248.93700000000001</v>
      </c>
      <c r="F484" s="26">
        <v>8961.732</v>
      </c>
    </row>
    <row r="485" spans="1:9" ht="13.5" hidden="1" customHeight="1" x14ac:dyDescent="0.2">
      <c r="A485" s="11">
        <v>12</v>
      </c>
      <c r="B485" s="11" t="s">
        <v>415</v>
      </c>
      <c r="C485" s="11" t="s">
        <v>76</v>
      </c>
      <c r="D485" s="26">
        <v>68</v>
      </c>
      <c r="E485" s="37">
        <v>221.637</v>
      </c>
      <c r="F485" s="26">
        <v>15071.316000000001</v>
      </c>
    </row>
    <row r="486" spans="1:9" ht="13.5" hidden="1" customHeight="1" x14ac:dyDescent="0.2">
      <c r="A486" s="11">
        <v>13</v>
      </c>
      <c r="B486" s="11" t="s">
        <v>416</v>
      </c>
      <c r="C486" s="11" t="s">
        <v>76</v>
      </c>
      <c r="D486" s="26">
        <v>14</v>
      </c>
      <c r="E486" s="37">
        <v>3267.81</v>
      </c>
      <c r="F486" s="26">
        <v>45749.34</v>
      </c>
    </row>
    <row r="487" spans="1:9" ht="16.95" hidden="1" customHeight="1" x14ac:dyDescent="0.2"/>
    <row r="488" spans="1:9" ht="13.5" hidden="1" customHeight="1" x14ac:dyDescent="0.2">
      <c r="A488" s="2"/>
      <c r="B488" s="2"/>
      <c r="C488" s="19" t="s">
        <v>98</v>
      </c>
      <c r="D488" s="29"/>
      <c r="E488" s="40"/>
      <c r="F488" s="29">
        <v>184879.37400000001</v>
      </c>
    </row>
    <row r="489" spans="1:9" ht="13.5" hidden="1" customHeight="1" x14ac:dyDescent="0.2">
      <c r="C489" s="3" t="s">
        <v>99</v>
      </c>
      <c r="D489" s="30" t="s">
        <v>100</v>
      </c>
      <c r="F489" s="30">
        <v>86550</v>
      </c>
    </row>
    <row r="490" spans="1:9" ht="13.5" hidden="1" customHeight="1" x14ac:dyDescent="0.2">
      <c r="D490" s="30" t="s">
        <v>101</v>
      </c>
      <c r="F490" s="30">
        <v>98329.373999999996</v>
      </c>
    </row>
    <row r="491" spans="1:9" ht="11.4" hidden="1" x14ac:dyDescent="0.2">
      <c r="C491" s="19" t="s">
        <v>102</v>
      </c>
      <c r="D491" s="29"/>
      <c r="E491" s="40"/>
      <c r="F491" s="29">
        <v>184879.37400000001</v>
      </c>
    </row>
    <row r="492" spans="1:9" ht="16.95" hidden="1" customHeight="1" x14ac:dyDescent="0.2"/>
    <row r="493" spans="1:9" ht="16.95" customHeight="1" x14ac:dyDescent="0.2">
      <c r="A493" t="s">
        <v>443</v>
      </c>
      <c r="D493" s="30" t="s">
        <v>17</v>
      </c>
      <c r="E493" s="33" t="s">
        <v>440</v>
      </c>
    </row>
    <row r="494" spans="1:9" ht="13.5" customHeight="1" x14ac:dyDescent="0.25">
      <c r="A494" s="4" t="s">
        <v>417</v>
      </c>
      <c r="D494" s="30" t="s">
        <v>17</v>
      </c>
      <c r="E494" s="33">
        <f>F511/62</f>
        <v>10377.690322580645</v>
      </c>
    </row>
    <row r="495" spans="1:9" ht="13.5" hidden="1" customHeight="1" x14ac:dyDescent="0.2">
      <c r="A495" s="5" t="s">
        <v>5</v>
      </c>
      <c r="B495" s="5" t="s">
        <v>6</v>
      </c>
      <c r="C495" s="6" t="s">
        <v>7</v>
      </c>
      <c r="D495" s="23" t="s">
        <v>8</v>
      </c>
      <c r="E495" s="34" t="s">
        <v>9</v>
      </c>
      <c r="F495" s="23" t="s">
        <v>10</v>
      </c>
    </row>
    <row r="496" spans="1:9" ht="13.5" hidden="1" customHeight="1" x14ac:dyDescent="0.2">
      <c r="A496" s="9">
        <v>1</v>
      </c>
      <c r="B496" s="9" t="s">
        <v>188</v>
      </c>
      <c r="C496" s="9" t="s">
        <v>17</v>
      </c>
      <c r="D496" s="25">
        <v>62</v>
      </c>
      <c r="E496" s="36">
        <v>2520</v>
      </c>
      <c r="F496" s="25">
        <v>156240</v>
      </c>
      <c r="G496" s="8"/>
      <c r="H496" s="8"/>
      <c r="I496" s="8"/>
    </row>
    <row r="497" spans="1:9" ht="13.5" hidden="1" customHeight="1" x14ac:dyDescent="0.2">
      <c r="A497" s="11">
        <v>2</v>
      </c>
      <c r="B497" s="11" t="s">
        <v>189</v>
      </c>
      <c r="C497" s="11" t="s">
        <v>76</v>
      </c>
      <c r="D497" s="26">
        <v>890</v>
      </c>
      <c r="E497" s="37">
        <v>91</v>
      </c>
      <c r="F497" s="26">
        <v>80990</v>
      </c>
    </row>
    <row r="498" spans="1:9" ht="13.5" hidden="1" customHeight="1" x14ac:dyDescent="0.2">
      <c r="A498" s="9">
        <v>3</v>
      </c>
      <c r="B498" s="9" t="s">
        <v>418</v>
      </c>
      <c r="C498" s="9" t="s">
        <v>17</v>
      </c>
      <c r="D498" s="25">
        <v>21</v>
      </c>
      <c r="E498" s="36">
        <v>3500</v>
      </c>
      <c r="F498" s="25">
        <v>73500</v>
      </c>
      <c r="G498" s="8"/>
      <c r="H498" s="8"/>
      <c r="I498" s="8"/>
    </row>
    <row r="499" spans="1:9" ht="13.5" hidden="1" customHeight="1" x14ac:dyDescent="0.2">
      <c r="A499" s="11">
        <v>4</v>
      </c>
      <c r="B499" s="11" t="s">
        <v>419</v>
      </c>
      <c r="C499" s="11" t="s">
        <v>76</v>
      </c>
      <c r="D499" s="26">
        <v>2</v>
      </c>
      <c r="E499" s="37">
        <v>32337.599999999999</v>
      </c>
      <c r="F499" s="26">
        <v>64675.199999999997</v>
      </c>
    </row>
    <row r="500" spans="1:9" ht="13.5" hidden="1" customHeight="1" x14ac:dyDescent="0.2">
      <c r="A500" s="11">
        <v>5</v>
      </c>
      <c r="B500" s="11" t="s">
        <v>420</v>
      </c>
      <c r="C500" s="11" t="s">
        <v>76</v>
      </c>
      <c r="D500" s="26">
        <v>2</v>
      </c>
      <c r="E500" s="37">
        <v>32426.400000000001</v>
      </c>
      <c r="F500" s="26">
        <v>64852.800000000003</v>
      </c>
    </row>
    <row r="501" spans="1:9" ht="13.5" hidden="1" customHeight="1" x14ac:dyDescent="0.2">
      <c r="A501" s="11">
        <v>6</v>
      </c>
      <c r="B501" s="11" t="s">
        <v>421</v>
      </c>
      <c r="C501" s="11" t="s">
        <v>422</v>
      </c>
      <c r="D501" s="26">
        <v>2</v>
      </c>
      <c r="E501" s="37">
        <v>22470</v>
      </c>
      <c r="F501" s="26">
        <v>44940</v>
      </c>
    </row>
    <row r="502" spans="1:9" ht="13.5" hidden="1" customHeight="1" x14ac:dyDescent="0.2">
      <c r="A502" s="11">
        <v>7</v>
      </c>
      <c r="B502" s="11" t="s">
        <v>423</v>
      </c>
      <c r="C502" s="11" t="s">
        <v>76</v>
      </c>
      <c r="D502" s="26">
        <v>1</v>
      </c>
      <c r="E502" s="37">
        <v>29767.200000000001</v>
      </c>
      <c r="F502" s="26">
        <v>29767.200000000001</v>
      </c>
    </row>
    <row r="503" spans="1:9" ht="13.5" hidden="1" customHeight="1" x14ac:dyDescent="0.2">
      <c r="A503" s="11">
        <v>8</v>
      </c>
      <c r="B503" s="11" t="s">
        <v>424</v>
      </c>
      <c r="C503" s="11" t="s">
        <v>76</v>
      </c>
      <c r="D503" s="26">
        <v>1</v>
      </c>
      <c r="E503" s="37">
        <v>77151.600000000006</v>
      </c>
      <c r="F503" s="26">
        <v>77151.600000000006</v>
      </c>
    </row>
    <row r="504" spans="1:9" ht="13.5" hidden="1" customHeight="1" x14ac:dyDescent="0.2">
      <c r="A504" s="11">
        <v>9</v>
      </c>
      <c r="B504" s="11" t="s">
        <v>59</v>
      </c>
      <c r="C504" s="11" t="s">
        <v>76</v>
      </c>
      <c r="D504" s="26">
        <v>1</v>
      </c>
      <c r="E504" s="37">
        <v>34800</v>
      </c>
      <c r="F504" s="26">
        <v>34800</v>
      </c>
    </row>
    <row r="505" spans="1:9" ht="13.5" hidden="1" customHeight="1" x14ac:dyDescent="0.2">
      <c r="A505" s="7">
        <v>10</v>
      </c>
      <c r="B505" s="7" t="s">
        <v>186</v>
      </c>
      <c r="C505" s="7" t="s">
        <v>11</v>
      </c>
      <c r="D505" s="24">
        <v>1</v>
      </c>
      <c r="E505" s="35">
        <v>16500</v>
      </c>
      <c r="F505" s="24">
        <v>16500</v>
      </c>
    </row>
    <row r="506" spans="1:9" ht="13.5" hidden="1" customHeight="1" x14ac:dyDescent="0.2">
      <c r="A506" s="17" t="s">
        <v>266</v>
      </c>
      <c r="B506" s="18" t="s">
        <v>2</v>
      </c>
      <c r="C506" s="17" t="s">
        <v>69</v>
      </c>
      <c r="D506" s="28">
        <v>1</v>
      </c>
      <c r="E506" s="39">
        <v>16500</v>
      </c>
      <c r="F506" s="28">
        <v>16500</v>
      </c>
      <c r="G506" s="16"/>
      <c r="H506" s="16"/>
      <c r="I506" s="16"/>
    </row>
    <row r="507" spans="1:9" ht="16.95" hidden="1" customHeight="1" x14ac:dyDescent="0.2"/>
    <row r="508" spans="1:9" ht="13.5" hidden="1" customHeight="1" x14ac:dyDescent="0.2">
      <c r="A508" s="2"/>
      <c r="B508" s="2"/>
      <c r="C508" s="19" t="s">
        <v>98</v>
      </c>
      <c r="D508" s="29"/>
      <c r="E508" s="40"/>
      <c r="F508" s="29">
        <v>643416.80000000005</v>
      </c>
    </row>
    <row r="509" spans="1:9" ht="13.5" hidden="1" customHeight="1" x14ac:dyDescent="0.2">
      <c r="C509" s="3" t="s">
        <v>99</v>
      </c>
      <c r="D509" s="30" t="s">
        <v>100</v>
      </c>
      <c r="F509" s="30">
        <v>229740</v>
      </c>
    </row>
    <row r="510" spans="1:9" ht="13.5" hidden="1" customHeight="1" x14ac:dyDescent="0.2">
      <c r="D510" s="30" t="s">
        <v>101</v>
      </c>
      <c r="F510" s="30">
        <v>413676.79999999999</v>
      </c>
    </row>
    <row r="511" spans="1:9" ht="11.4" hidden="1" x14ac:dyDescent="0.2">
      <c r="C511" s="19" t="s">
        <v>102</v>
      </c>
      <c r="D511" s="29"/>
      <c r="E511" s="40"/>
      <c r="F511" s="29">
        <v>643416.80000000005</v>
      </c>
    </row>
    <row r="512" spans="1:9" ht="16.95" hidden="1" customHeight="1" x14ac:dyDescent="0.2"/>
    <row r="513" spans="1:9" ht="13.5" customHeight="1" x14ac:dyDescent="0.25">
      <c r="A513" s="4" t="s">
        <v>425</v>
      </c>
      <c r="D513" s="30" t="s">
        <v>76</v>
      </c>
      <c r="E513" s="33">
        <v>35200</v>
      </c>
    </row>
    <row r="514" spans="1:9" ht="13.5" hidden="1" customHeight="1" x14ac:dyDescent="0.2">
      <c r="A514" s="5" t="s">
        <v>5</v>
      </c>
      <c r="B514" s="5" t="s">
        <v>6</v>
      </c>
      <c r="C514" s="6" t="s">
        <v>7</v>
      </c>
      <c r="D514" s="23" t="s">
        <v>8</v>
      </c>
      <c r="E514" s="34" t="s">
        <v>9</v>
      </c>
      <c r="F514" s="23" t="s">
        <v>10</v>
      </c>
    </row>
    <row r="515" spans="1:9" ht="13.5" hidden="1" customHeight="1" x14ac:dyDescent="0.2">
      <c r="A515" s="9">
        <v>1</v>
      </c>
      <c r="B515" s="9" t="s">
        <v>426</v>
      </c>
      <c r="C515" s="9" t="s">
        <v>76</v>
      </c>
      <c r="D515" s="25">
        <v>1</v>
      </c>
      <c r="E515" s="36">
        <v>5200</v>
      </c>
      <c r="F515" s="25">
        <v>5200</v>
      </c>
      <c r="G515" s="8"/>
      <c r="H515" s="8"/>
      <c r="I515" s="8"/>
    </row>
    <row r="516" spans="1:9" ht="13.5" hidden="1" customHeight="1" x14ac:dyDescent="0.2">
      <c r="A516" s="11">
        <v>2</v>
      </c>
      <c r="B516" s="11" t="s">
        <v>427</v>
      </c>
      <c r="C516" s="11" t="s">
        <v>76</v>
      </c>
      <c r="D516" s="26">
        <v>1</v>
      </c>
      <c r="E516" s="37">
        <v>30000</v>
      </c>
      <c r="F516" s="26">
        <v>30000</v>
      </c>
    </row>
    <row r="517" spans="1:9" ht="16.95" hidden="1" customHeight="1" x14ac:dyDescent="0.2"/>
    <row r="518" spans="1:9" ht="13.5" hidden="1" customHeight="1" x14ac:dyDescent="0.2">
      <c r="A518" s="2"/>
      <c r="B518" s="2"/>
      <c r="C518" s="19" t="s">
        <v>98</v>
      </c>
      <c r="D518" s="29"/>
      <c r="E518" s="40"/>
      <c r="F518" s="29">
        <v>35200</v>
      </c>
    </row>
    <row r="519" spans="1:9" ht="13.5" hidden="1" customHeight="1" x14ac:dyDescent="0.2">
      <c r="C519" s="3" t="s">
        <v>99</v>
      </c>
      <c r="D519" s="30" t="s">
        <v>100</v>
      </c>
      <c r="F519" s="30">
        <v>5200</v>
      </c>
    </row>
    <row r="520" spans="1:9" ht="13.5" hidden="1" customHeight="1" x14ac:dyDescent="0.2">
      <c r="D520" s="30" t="s">
        <v>101</v>
      </c>
      <c r="F520" s="30">
        <v>30000</v>
      </c>
    </row>
    <row r="521" spans="1:9" ht="11.4" hidden="1" x14ac:dyDescent="0.2">
      <c r="C521" s="19" t="s">
        <v>102</v>
      </c>
      <c r="D521" s="29"/>
      <c r="E521" s="40"/>
      <c r="F521" s="29">
        <v>35200</v>
      </c>
    </row>
    <row r="522" spans="1:9" ht="16.95" hidden="1" customHeight="1" x14ac:dyDescent="0.2"/>
    <row r="523" spans="1:9" ht="11.4" hidden="1" x14ac:dyDescent="0.2">
      <c r="C523" s="20" t="s">
        <v>3</v>
      </c>
      <c r="D523" s="31"/>
      <c r="E523" s="41"/>
      <c r="F523" s="31">
        <v>29838745.442120008</v>
      </c>
    </row>
    <row r="524" spans="1:9" ht="16.95" hidden="1" customHeight="1" x14ac:dyDescent="0.2"/>
    <row r="525" spans="1:9" ht="16.95" hidden="1" customHeight="1" x14ac:dyDescent="0.2"/>
    <row r="526" spans="1:9" ht="16.95" hidden="1" customHeight="1" x14ac:dyDescent="0.2"/>
    <row r="527" spans="1:9" ht="11.4" hidden="1" x14ac:dyDescent="0.2">
      <c r="A527" s="2" t="s">
        <v>428</v>
      </c>
      <c r="B527" s="2"/>
      <c r="C527" s="2"/>
      <c r="D527" s="29"/>
      <c r="E527" s="40"/>
      <c r="F527" s="32"/>
    </row>
    <row r="528" spans="1:9" ht="11.4" hidden="1" x14ac:dyDescent="0.2">
      <c r="A528" t="s">
        <v>429</v>
      </c>
      <c r="B528" t="s">
        <v>430</v>
      </c>
    </row>
    <row r="529" spans="1:4" ht="11.4" hidden="1" x14ac:dyDescent="0.2">
      <c r="A529" t="s">
        <v>431</v>
      </c>
      <c r="B529" t="s">
        <v>432</v>
      </c>
    </row>
    <row r="530" spans="1:4" ht="11.4" hidden="1" x14ac:dyDescent="0.2">
      <c r="A530" t="s">
        <v>433</v>
      </c>
      <c r="B530" t="s">
        <v>434</v>
      </c>
    </row>
    <row r="531" spans="1:4" ht="16.95" hidden="1" customHeight="1" x14ac:dyDescent="0.2"/>
    <row r="532" spans="1:4" ht="16.95" hidden="1" customHeight="1" x14ac:dyDescent="0.2"/>
    <row r="533" spans="1:4" ht="16.95" hidden="1" customHeight="1" x14ac:dyDescent="0.2"/>
    <row r="534" spans="1:4" ht="11.4" hidden="1" x14ac:dyDescent="0.2">
      <c r="A534" t="s">
        <v>435</v>
      </c>
      <c r="B534" s="1"/>
      <c r="C534" s="1"/>
      <c r="D534" s="42"/>
    </row>
    <row r="535" spans="1:4" ht="12.6" hidden="1" x14ac:dyDescent="0.2">
      <c r="B535" s="21" t="s">
        <v>436</v>
      </c>
      <c r="C535" s="21" t="s">
        <v>437</v>
      </c>
      <c r="D535" s="43"/>
    </row>
    <row r="536" spans="1:4" ht="16.95" hidden="1" customHeight="1" x14ac:dyDescent="0.2"/>
    <row r="537" spans="1:4" ht="16.95" hidden="1" customHeight="1" x14ac:dyDescent="0.2"/>
    <row r="538" spans="1:4" ht="11.4" hidden="1" x14ac:dyDescent="0.2">
      <c r="A538" t="s">
        <v>438</v>
      </c>
      <c r="B538" s="1"/>
      <c r="C538" s="1"/>
      <c r="D538" s="42"/>
    </row>
    <row r="539" spans="1:4" ht="12.6" hidden="1" x14ac:dyDescent="0.2">
      <c r="B539" s="21" t="s">
        <v>436</v>
      </c>
      <c r="C539" s="21" t="s">
        <v>437</v>
      </c>
      <c r="D539" s="43"/>
    </row>
    <row r="540" spans="1:4" ht="16.95" hidden="1" customHeight="1" x14ac:dyDescent="0.2"/>
    <row r="541" spans="1:4" ht="16.95" hidden="1" customHeight="1" x14ac:dyDescent="0.2"/>
    <row r="542" spans="1:4" ht="16.95" hidden="1" customHeight="1" x14ac:dyDescent="0.2"/>
    <row r="543" spans="1:4" ht="16.95" hidden="1" customHeight="1" x14ac:dyDescent="0.2"/>
    <row r="545" spans="1:11" ht="16.95" customHeight="1" x14ac:dyDescent="0.2">
      <c r="E545" s="33" t="s">
        <v>506</v>
      </c>
      <c r="F545" s="22" t="s">
        <v>505</v>
      </c>
    </row>
    <row r="546" spans="1:11" s="44" customFormat="1" ht="16.95" customHeight="1" x14ac:dyDescent="0.2">
      <c r="A546" s="44" t="s">
        <v>444</v>
      </c>
      <c r="B546" s="44" t="s">
        <v>445</v>
      </c>
      <c r="C546" s="44" t="s">
        <v>446</v>
      </c>
      <c r="D546" s="45" t="s">
        <v>447</v>
      </c>
      <c r="E546" s="46"/>
      <c r="F546" s="47"/>
    </row>
    <row r="547" spans="1:11" s="44" customFormat="1" ht="16.95" customHeight="1" x14ac:dyDescent="0.2">
      <c r="A547" s="44" t="s">
        <v>448</v>
      </c>
      <c r="B547" s="44" t="s">
        <v>503</v>
      </c>
      <c r="C547" s="44" t="s">
        <v>449</v>
      </c>
      <c r="D547" s="45">
        <v>43621</v>
      </c>
      <c r="E547" s="46"/>
      <c r="F547" s="47"/>
    </row>
    <row r="548" spans="1:11" s="44" customFormat="1" ht="16.95" customHeight="1" x14ac:dyDescent="0.2">
      <c r="A548" s="44" t="s">
        <v>448</v>
      </c>
      <c r="B548" s="44" t="s">
        <v>504</v>
      </c>
      <c r="C548" s="44" t="s">
        <v>449</v>
      </c>
      <c r="D548" s="45" t="s">
        <v>450</v>
      </c>
      <c r="E548" s="46"/>
      <c r="F548" s="47"/>
    </row>
    <row r="549" spans="1:11" s="44" customFormat="1" ht="16.95" customHeight="1" x14ac:dyDescent="0.2">
      <c r="A549" s="44" t="s">
        <v>448</v>
      </c>
      <c r="B549" s="44" t="s">
        <v>451</v>
      </c>
      <c r="C549" s="44" t="s">
        <v>461</v>
      </c>
      <c r="D549" s="45">
        <f>F549/E549</f>
        <v>9484.1848234410227</v>
      </c>
      <c r="E549" s="46">
        <f>43.72+9.52</f>
        <v>53.239999999999995</v>
      </c>
      <c r="F549" s="47">
        <v>504938</v>
      </c>
      <c r="G549" s="48"/>
    </row>
    <row r="550" spans="1:11" s="44" customFormat="1" ht="16.95" customHeight="1" x14ac:dyDescent="0.2">
      <c r="A550" s="44" t="s">
        <v>448</v>
      </c>
      <c r="B550" s="44" t="s">
        <v>452</v>
      </c>
      <c r="C550" s="44" t="s">
        <v>461</v>
      </c>
      <c r="D550" s="45">
        <f>F550/E550</f>
        <v>7345.9396008963822</v>
      </c>
      <c r="E550" s="46">
        <f>73.31+20.4</f>
        <v>93.710000000000008</v>
      </c>
      <c r="F550" s="47">
        <v>688388</v>
      </c>
    </row>
    <row r="551" spans="1:11" s="44" customFormat="1" ht="16.95" customHeight="1" x14ac:dyDescent="0.2">
      <c r="A551" s="44" t="s">
        <v>448</v>
      </c>
      <c r="B551" s="44" t="s">
        <v>453</v>
      </c>
      <c r="C551" s="44" t="s">
        <v>449</v>
      </c>
      <c r="D551" s="45">
        <v>0</v>
      </c>
      <c r="E551" s="46"/>
      <c r="F551" s="47"/>
    </row>
    <row r="552" spans="1:11" s="44" customFormat="1" ht="16.95" customHeight="1" x14ac:dyDescent="0.2">
      <c r="A552" s="44" t="s">
        <v>454</v>
      </c>
      <c r="B552" s="44" t="s">
        <v>455</v>
      </c>
      <c r="C552" s="44" t="s">
        <v>449</v>
      </c>
      <c r="D552" s="45">
        <v>15348</v>
      </c>
      <c r="E552" s="46"/>
      <c r="F552" s="47"/>
    </row>
    <row r="553" spans="1:11" s="44" customFormat="1" ht="16.95" customHeight="1" x14ac:dyDescent="0.2">
      <c r="A553" s="44" t="s">
        <v>454</v>
      </c>
      <c r="B553" s="44" t="s">
        <v>456</v>
      </c>
      <c r="C553" s="44" t="s">
        <v>449</v>
      </c>
      <c r="D553" s="45" t="s">
        <v>457</v>
      </c>
      <c r="E553" s="46"/>
      <c r="F553" s="47"/>
    </row>
    <row r="554" spans="1:11" s="44" customFormat="1" ht="16.95" customHeight="1" x14ac:dyDescent="0.2">
      <c r="A554" s="44" t="s">
        <v>454</v>
      </c>
      <c r="B554" s="44" t="s">
        <v>458</v>
      </c>
      <c r="C554" s="44" t="s">
        <v>449</v>
      </c>
      <c r="D554" s="45">
        <v>0</v>
      </c>
      <c r="E554" s="46"/>
      <c r="F554" s="47"/>
    </row>
    <row r="555" spans="1:11" s="44" customFormat="1" ht="16.95" customHeight="1" x14ac:dyDescent="0.2">
      <c r="A555" s="44" t="s">
        <v>454</v>
      </c>
      <c r="B555" s="44" t="s">
        <v>459</v>
      </c>
      <c r="C555" s="44" t="s">
        <v>449</v>
      </c>
      <c r="D555" s="45">
        <v>13460</v>
      </c>
      <c r="E555" s="46"/>
      <c r="F555" s="47"/>
    </row>
    <row r="556" spans="1:11" s="44" customFormat="1" ht="16.95" customHeight="1" x14ac:dyDescent="0.2">
      <c r="A556" s="44" t="s">
        <v>454</v>
      </c>
      <c r="B556" s="44" t="s">
        <v>460</v>
      </c>
      <c r="C556" s="44" t="s">
        <v>461</v>
      </c>
      <c r="D556" s="45">
        <f>F556/E556</f>
        <v>8848.7941176470595</v>
      </c>
      <c r="E556" s="46">
        <v>170</v>
      </c>
      <c r="F556" s="47">
        <v>1504295</v>
      </c>
      <c r="H556" s="44">
        <f>12.4+10</f>
        <v>22.4</v>
      </c>
      <c r="I556" s="44">
        <f>H556*2</f>
        <v>44.8</v>
      </c>
      <c r="J556" s="44">
        <f>I556*2.8</f>
        <v>125.43999999999998</v>
      </c>
      <c r="K556" s="48">
        <f>J556*D556</f>
        <v>1109992.7341176469</v>
      </c>
    </row>
    <row r="557" spans="1:11" s="44" customFormat="1" ht="16.95" customHeight="1" x14ac:dyDescent="0.2">
      <c r="A557" s="44" t="s">
        <v>454</v>
      </c>
      <c r="B557" s="44" t="s">
        <v>462</v>
      </c>
      <c r="C557" s="44" t="s">
        <v>461</v>
      </c>
      <c r="D557" s="45">
        <f>F557/E557</f>
        <v>6637.2230652503786</v>
      </c>
      <c r="E557" s="46">
        <v>65.900000000000006</v>
      </c>
      <c r="F557" s="47">
        <v>437393</v>
      </c>
    </row>
    <row r="558" spans="1:11" s="44" customFormat="1" ht="16.95" customHeight="1" x14ac:dyDescent="0.2">
      <c r="A558" s="44" t="s">
        <v>454</v>
      </c>
      <c r="B558" s="44" t="s">
        <v>463</v>
      </c>
      <c r="C558" s="44" t="s">
        <v>449</v>
      </c>
      <c r="D558" s="45">
        <v>66000</v>
      </c>
      <c r="E558" s="46"/>
      <c r="F558" s="47"/>
    </row>
    <row r="559" spans="1:11" s="44" customFormat="1" ht="16.95" customHeight="1" x14ac:dyDescent="0.2">
      <c r="A559" s="44" t="s">
        <v>454</v>
      </c>
      <c r="B559" s="44" t="s">
        <v>464</v>
      </c>
      <c r="C559" s="44" t="s">
        <v>449</v>
      </c>
      <c r="D559" s="45" t="s">
        <v>465</v>
      </c>
      <c r="E559" s="46"/>
      <c r="F559" s="47"/>
    </row>
    <row r="560" spans="1:11" s="44" customFormat="1" ht="16.95" customHeight="1" x14ac:dyDescent="0.2">
      <c r="A560" s="44" t="s">
        <v>466</v>
      </c>
      <c r="B560" s="44" t="s">
        <v>467</v>
      </c>
      <c r="C560" s="44" t="s">
        <v>461</v>
      </c>
      <c r="D560" s="45">
        <v>6655</v>
      </c>
      <c r="E560" s="46"/>
      <c r="F560" s="47"/>
    </row>
    <row r="561" spans="1:6" s="44" customFormat="1" ht="16.95" customHeight="1" x14ac:dyDescent="0.2">
      <c r="A561" s="44" t="s">
        <v>466</v>
      </c>
      <c r="B561" s="44" t="s">
        <v>468</v>
      </c>
      <c r="C561" s="44" t="s">
        <v>461</v>
      </c>
      <c r="D561" s="45" t="s">
        <v>469</v>
      </c>
      <c r="E561" s="46"/>
      <c r="F561" s="47"/>
    </row>
    <row r="562" spans="1:6" s="44" customFormat="1" ht="16.95" customHeight="1" x14ac:dyDescent="0.2">
      <c r="A562" s="44" t="s">
        <v>466</v>
      </c>
      <c r="B562" s="44" t="s">
        <v>470</v>
      </c>
      <c r="C562" s="44" t="s">
        <v>461</v>
      </c>
      <c r="D562" s="45">
        <v>0</v>
      </c>
      <c r="E562" s="46"/>
      <c r="F562" s="47"/>
    </row>
    <row r="563" spans="1:6" s="44" customFormat="1" ht="16.95" customHeight="1" x14ac:dyDescent="0.2">
      <c r="A563" s="44" t="s">
        <v>466</v>
      </c>
      <c r="B563" s="44" t="s">
        <v>471</v>
      </c>
      <c r="C563" s="44" t="s">
        <v>461</v>
      </c>
      <c r="D563" s="45">
        <v>0</v>
      </c>
      <c r="E563" s="46"/>
      <c r="F563" s="47"/>
    </row>
    <row r="564" spans="1:6" s="44" customFormat="1" ht="16.95" customHeight="1" x14ac:dyDescent="0.2">
      <c r="A564" s="44" t="s">
        <v>472</v>
      </c>
      <c r="B564" s="44" t="s">
        <v>473</v>
      </c>
      <c r="C564" s="44" t="s">
        <v>449</v>
      </c>
      <c r="D564" s="45">
        <v>31886</v>
      </c>
      <c r="E564" s="46"/>
      <c r="F564" s="47"/>
    </row>
    <row r="565" spans="1:6" s="44" customFormat="1" ht="16.95" customHeight="1" x14ac:dyDescent="0.2">
      <c r="A565" s="44" t="s">
        <v>472</v>
      </c>
      <c r="B565" s="44" t="s">
        <v>474</v>
      </c>
      <c r="C565" s="44" t="s">
        <v>449</v>
      </c>
      <c r="D565" s="45" t="s">
        <v>475</v>
      </c>
      <c r="E565" s="46"/>
      <c r="F565" s="47"/>
    </row>
    <row r="566" spans="1:6" s="44" customFormat="1" ht="16.95" customHeight="1" x14ac:dyDescent="0.2">
      <c r="A566" s="44" t="s">
        <v>472</v>
      </c>
      <c r="B566" s="44" t="s">
        <v>476</v>
      </c>
      <c r="C566" s="44" t="s">
        <v>461</v>
      </c>
      <c r="D566" s="45">
        <v>0</v>
      </c>
      <c r="E566" s="46"/>
      <c r="F566" s="47"/>
    </row>
    <row r="567" spans="1:6" s="44" customFormat="1" ht="16.95" customHeight="1" x14ac:dyDescent="0.2">
      <c r="A567" s="44" t="s">
        <v>472</v>
      </c>
      <c r="B567" s="44" t="s">
        <v>477</v>
      </c>
      <c r="C567" s="44" t="s">
        <v>461</v>
      </c>
      <c r="D567" s="45">
        <v>0</v>
      </c>
      <c r="E567" s="46"/>
      <c r="F567" s="47"/>
    </row>
    <row r="568" spans="1:6" s="44" customFormat="1" ht="16.95" customHeight="1" x14ac:dyDescent="0.2">
      <c r="A568" s="44" t="s">
        <v>478</v>
      </c>
      <c r="B568" s="44" t="s">
        <v>478</v>
      </c>
      <c r="C568" s="44" t="s">
        <v>156</v>
      </c>
      <c r="D568" s="45" t="s">
        <v>479</v>
      </c>
      <c r="E568" s="46"/>
      <c r="F568" s="47"/>
    </row>
    <row r="569" spans="1:6" s="44" customFormat="1" ht="16.95" customHeight="1" x14ac:dyDescent="0.2">
      <c r="A569" s="44" t="s">
        <v>478</v>
      </c>
      <c r="B569" s="44" t="s">
        <v>453</v>
      </c>
      <c r="C569" s="44" t="s">
        <v>156</v>
      </c>
      <c r="D569" s="45">
        <v>0</v>
      </c>
      <c r="E569" s="46"/>
      <c r="F569" s="47"/>
    </row>
    <row r="570" spans="1:6" s="44" customFormat="1" ht="16.95" customHeight="1" x14ac:dyDescent="0.2">
      <c r="A570" s="44" t="s">
        <v>480</v>
      </c>
      <c r="B570" s="44" t="s">
        <v>481</v>
      </c>
      <c r="C570" s="44" t="s">
        <v>461</v>
      </c>
      <c r="D570" s="45">
        <v>4527</v>
      </c>
      <c r="E570" s="46"/>
      <c r="F570" s="47"/>
    </row>
    <row r="571" spans="1:6" s="44" customFormat="1" ht="16.95" customHeight="1" x14ac:dyDescent="0.2">
      <c r="A571" s="44" t="s">
        <v>480</v>
      </c>
      <c r="B571" s="44" t="s">
        <v>482</v>
      </c>
      <c r="C571" s="44" t="s">
        <v>461</v>
      </c>
      <c r="D571" s="45">
        <v>6700</v>
      </c>
      <c r="E571" s="46"/>
      <c r="F571" s="47"/>
    </row>
    <row r="572" spans="1:6" s="44" customFormat="1" ht="16.95" customHeight="1" x14ac:dyDescent="0.2">
      <c r="A572" s="44" t="s">
        <v>480</v>
      </c>
      <c r="B572" s="44" t="s">
        <v>483</v>
      </c>
      <c r="C572" s="44" t="s">
        <v>449</v>
      </c>
      <c r="D572" s="45">
        <v>0</v>
      </c>
      <c r="E572" s="46"/>
      <c r="F572" s="47"/>
    </row>
    <row r="573" spans="1:6" s="44" customFormat="1" ht="16.95" customHeight="1" x14ac:dyDescent="0.2">
      <c r="A573" s="44" t="s">
        <v>480</v>
      </c>
      <c r="B573" s="44" t="s">
        <v>453</v>
      </c>
      <c r="C573" s="44" t="s">
        <v>461</v>
      </c>
      <c r="D573" s="45">
        <v>0</v>
      </c>
      <c r="E573" s="46"/>
      <c r="F573" s="47"/>
    </row>
    <row r="574" spans="1:6" s="44" customFormat="1" ht="16.95" customHeight="1" x14ac:dyDescent="0.2">
      <c r="A574" s="44" t="s">
        <v>484</v>
      </c>
      <c r="B574" s="44" t="s">
        <v>481</v>
      </c>
      <c r="C574" s="44" t="s">
        <v>461</v>
      </c>
      <c r="D574" s="45">
        <v>4527</v>
      </c>
      <c r="E574" s="46"/>
      <c r="F574" s="47"/>
    </row>
    <row r="575" spans="1:6" s="44" customFormat="1" ht="16.95" customHeight="1" x14ac:dyDescent="0.2">
      <c r="A575" s="44" t="s">
        <v>484</v>
      </c>
      <c r="B575" s="44" t="s">
        <v>482</v>
      </c>
      <c r="C575" s="44" t="s">
        <v>461</v>
      </c>
      <c r="D575" s="45">
        <v>6700</v>
      </c>
      <c r="E575" s="46"/>
      <c r="F575" s="47"/>
    </row>
    <row r="576" spans="1:6" s="44" customFormat="1" ht="16.95" customHeight="1" x14ac:dyDescent="0.2">
      <c r="A576" s="44" t="s">
        <v>484</v>
      </c>
      <c r="B576" s="44" t="s">
        <v>483</v>
      </c>
      <c r="C576" s="44" t="s">
        <v>449</v>
      </c>
      <c r="D576" s="45">
        <v>0</v>
      </c>
      <c r="E576" s="46"/>
      <c r="F576" s="47"/>
    </row>
    <row r="577" spans="1:6" s="44" customFormat="1" ht="16.95" customHeight="1" x14ac:dyDescent="0.2">
      <c r="A577" s="44" t="s">
        <v>484</v>
      </c>
      <c r="B577" s="44" t="s">
        <v>453</v>
      </c>
      <c r="C577" s="44" t="s">
        <v>461</v>
      </c>
      <c r="D577" s="45">
        <v>0</v>
      </c>
      <c r="E577" s="46"/>
      <c r="F577" s="47"/>
    </row>
    <row r="578" spans="1:6" s="44" customFormat="1" ht="16.95" customHeight="1" x14ac:dyDescent="0.2">
      <c r="A578" s="44" t="s">
        <v>485</v>
      </c>
      <c r="B578" s="44" t="s">
        <v>481</v>
      </c>
      <c r="C578" s="44" t="s">
        <v>461</v>
      </c>
      <c r="D578" s="45">
        <v>4527</v>
      </c>
      <c r="E578" s="46"/>
      <c r="F578" s="47"/>
    </row>
    <row r="579" spans="1:6" s="44" customFormat="1" ht="16.95" customHeight="1" x14ac:dyDescent="0.2">
      <c r="A579" s="44" t="s">
        <v>485</v>
      </c>
      <c r="B579" s="44" t="s">
        <v>482</v>
      </c>
      <c r="C579" s="44" t="s">
        <v>461</v>
      </c>
      <c r="D579" s="45">
        <v>6700</v>
      </c>
      <c r="E579" s="46"/>
      <c r="F579" s="47"/>
    </row>
    <row r="580" spans="1:6" s="44" customFormat="1" ht="16.95" customHeight="1" x14ac:dyDescent="0.2">
      <c r="A580" s="44" t="s">
        <v>485</v>
      </c>
      <c r="B580" s="44" t="s">
        <v>483</v>
      </c>
      <c r="C580" s="44" t="s">
        <v>449</v>
      </c>
      <c r="D580" s="45">
        <v>0</v>
      </c>
      <c r="E580" s="46"/>
      <c r="F580" s="47"/>
    </row>
    <row r="581" spans="1:6" s="44" customFormat="1" ht="16.95" customHeight="1" x14ac:dyDescent="0.2">
      <c r="A581" s="44" t="s">
        <v>485</v>
      </c>
      <c r="B581" s="44" t="s">
        <v>453</v>
      </c>
      <c r="C581" s="44" t="s">
        <v>461</v>
      </c>
      <c r="D581" s="45">
        <v>0</v>
      </c>
      <c r="E581" s="46"/>
      <c r="F581" s="47"/>
    </row>
    <row r="582" spans="1:6" s="44" customFormat="1" ht="16.95" customHeight="1" x14ac:dyDescent="0.2">
      <c r="A582" s="44" t="s">
        <v>486</v>
      </c>
      <c r="B582" s="44" t="s">
        <v>487</v>
      </c>
      <c r="C582" s="44" t="s">
        <v>461</v>
      </c>
      <c r="D582" s="45">
        <v>9428</v>
      </c>
      <c r="E582" s="46"/>
      <c r="F582" s="47"/>
    </row>
    <row r="583" spans="1:6" s="44" customFormat="1" ht="16.95" customHeight="1" x14ac:dyDescent="0.2">
      <c r="A583" s="44" t="s">
        <v>486</v>
      </c>
      <c r="B583" s="44" t="s">
        <v>488</v>
      </c>
      <c r="C583" s="44" t="s">
        <v>461</v>
      </c>
      <c r="D583" s="45" t="s">
        <v>489</v>
      </c>
      <c r="E583" s="46"/>
      <c r="F583" s="47"/>
    </row>
    <row r="584" spans="1:6" s="44" customFormat="1" ht="16.95" customHeight="1" x14ac:dyDescent="0.2">
      <c r="A584" s="44" t="s">
        <v>486</v>
      </c>
      <c r="B584" s="44" t="s">
        <v>453</v>
      </c>
      <c r="C584" s="44" t="s">
        <v>461</v>
      </c>
      <c r="D584" s="45">
        <v>0</v>
      </c>
      <c r="E584" s="46"/>
      <c r="F584" s="47"/>
    </row>
    <row r="585" spans="1:6" s="44" customFormat="1" ht="16.95" customHeight="1" x14ac:dyDescent="0.2">
      <c r="A585" s="44" t="s">
        <v>490</v>
      </c>
      <c r="B585" s="44" t="s">
        <v>491</v>
      </c>
      <c r="C585" s="44" t="s">
        <v>156</v>
      </c>
      <c r="D585" s="45">
        <v>1200</v>
      </c>
      <c r="E585" s="46"/>
      <c r="F585" s="47"/>
    </row>
    <row r="586" spans="1:6" s="44" customFormat="1" ht="16.95" customHeight="1" x14ac:dyDescent="0.2">
      <c r="A586" s="44" t="s">
        <v>490</v>
      </c>
      <c r="B586" s="44" t="s">
        <v>453</v>
      </c>
      <c r="C586" s="44" t="s">
        <v>156</v>
      </c>
      <c r="D586" s="45">
        <v>0</v>
      </c>
      <c r="E586" s="46"/>
      <c r="F586" s="47"/>
    </row>
    <row r="587" spans="1:6" s="44" customFormat="1" ht="16.95" customHeight="1" x14ac:dyDescent="0.2">
      <c r="A587" s="44" t="s">
        <v>492</v>
      </c>
      <c r="B587" s="44" t="s">
        <v>493</v>
      </c>
      <c r="C587" s="44" t="s">
        <v>461</v>
      </c>
      <c r="D587" s="45">
        <v>18300</v>
      </c>
      <c r="E587" s="46"/>
      <c r="F587" s="47"/>
    </row>
    <row r="588" spans="1:6" s="44" customFormat="1" ht="16.95" customHeight="1" x14ac:dyDescent="0.2">
      <c r="A588" s="44" t="s">
        <v>492</v>
      </c>
      <c r="B588" s="44" t="s">
        <v>494</v>
      </c>
      <c r="C588" s="44" t="s">
        <v>461</v>
      </c>
      <c r="D588" s="45">
        <v>20295</v>
      </c>
      <c r="E588" s="46"/>
      <c r="F588" s="47"/>
    </row>
    <row r="589" spans="1:6" s="44" customFormat="1" ht="16.95" customHeight="1" x14ac:dyDescent="0.2">
      <c r="A589" s="44" t="s">
        <v>492</v>
      </c>
      <c r="B589" s="44" t="s">
        <v>453</v>
      </c>
      <c r="C589" s="44" t="s">
        <v>461</v>
      </c>
      <c r="D589" s="45">
        <v>0</v>
      </c>
      <c r="E589" s="46"/>
      <c r="F589" s="47"/>
    </row>
    <row r="590" spans="1:6" s="44" customFormat="1" ht="16.95" customHeight="1" x14ac:dyDescent="0.2">
      <c r="A590" s="44" t="s">
        <v>495</v>
      </c>
      <c r="B590" s="44" t="s">
        <v>496</v>
      </c>
      <c r="C590" s="44" t="s">
        <v>76</v>
      </c>
      <c r="D590" s="45">
        <v>20000</v>
      </c>
      <c r="E590" s="46"/>
      <c r="F590" s="47"/>
    </row>
    <row r="591" spans="1:6" s="44" customFormat="1" ht="16.95" customHeight="1" x14ac:dyDescent="0.2">
      <c r="A591" s="44" t="s">
        <v>495</v>
      </c>
      <c r="B591" s="44" t="s">
        <v>453</v>
      </c>
      <c r="C591" s="44" t="s">
        <v>76</v>
      </c>
      <c r="D591" s="45">
        <v>0</v>
      </c>
      <c r="E591" s="46"/>
      <c r="F591" s="47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fitToHeight="0" orientation="landscape"/>
  <headerFooter>
    <oddFooter>&amp;"Tahoma,Regular"&amp;L&amp;7&amp;R&amp;7Страница &amp;P из &amp;N</oddFooter>
    <evenFooter>&amp;"Tahoma,Regular"&amp;L&amp;7&amp;R&amp;7Страница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Калькулятор</vt:lpstr>
      <vt:lpstr>Лист1</vt:lpstr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аааа ШАБЛОН 160726</dc:title>
  <dc:subject/>
  <dc:creator>Сметтер</dc:creator>
  <cp:keywords/>
  <dc:description/>
  <cp:lastModifiedBy>Александр Краснов</cp:lastModifiedBy>
  <dcterms:created xsi:type="dcterms:W3CDTF">2026-07-20T13:44:37Z</dcterms:created>
  <dcterms:modified xsi:type="dcterms:W3CDTF">2026-07-22T14:31:21Z</dcterms:modified>
  <cp:category/>
</cp:coreProperties>
</file>